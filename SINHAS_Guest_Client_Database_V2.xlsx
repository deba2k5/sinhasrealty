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rishu\Downloads\"/>
    </mc:Choice>
  </mc:AlternateContent>
  <xr:revisionPtr revIDLastSave="0" documentId="13_ncr:1_{9CFE4612-C036-4B05-A27B-2FBA89AAE3FF}" xr6:coauthVersionLast="47" xr6:coauthVersionMax="47" xr10:uidLastSave="{00000000-0000-0000-0000-000000000000}"/>
  <bookViews>
    <workbookView xWindow="-110" yWindow="-110" windowWidth="19420" windowHeight="11500" tabRatio="500" activeTab="3" xr2:uid="{00000000-000D-0000-FFFF-FFFF00000000}"/>
  </bookViews>
  <sheets>
    <sheet name="Revenue Dashboard" sheetId="1" r:id="rId1"/>
    <sheet name="Guest Profiles" sheetId="2" r:id="rId2"/>
    <sheet name="Property Lookup" sheetId="3" r:id="rId3"/>
    <sheet name="Revenue Tracker" sheetId="4" r:id="rId4"/>
    <sheet name="Data Dictionary" sheetId="5" r:id="rId5"/>
  </sheets>
  <definedNames>
    <definedName name="_xlnm._FilterDatabase" localSheetId="4" hidden="1">'Data Dictionary'!$A$2:$G$2</definedName>
    <definedName name="_xlnm._FilterDatabase" localSheetId="1" hidden="1">'Guest Profiles'!$A$4:$AK$4</definedName>
    <definedName name="_xlnm._FilterDatabase" localSheetId="2" hidden="1">'Property Lookup'!$A$3:$L$3</definedName>
    <definedName name="_xlnm._FilterDatabase" localSheetId="3" hidden="1">'Revenue Tracker'!$A$4:$AZ$4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A204" i="4" l="1"/>
  <c r="T204" i="4"/>
  <c r="AB204" i="4" s="1"/>
  <c r="AS204" i="4" s="1"/>
  <c r="AU204" i="4" s="1"/>
  <c r="A204" i="4"/>
  <c r="AA203" i="4"/>
  <c r="T203" i="4"/>
  <c r="AB203" i="4" s="1"/>
  <c r="AS203" i="4" s="1"/>
  <c r="AU203" i="4" s="1"/>
  <c r="A203" i="4"/>
  <c r="AA202" i="4"/>
  <c r="T202" i="4"/>
  <c r="AB202" i="4" s="1"/>
  <c r="AS202" i="4" s="1"/>
  <c r="AU202" i="4" s="1"/>
  <c r="A202" i="4"/>
  <c r="AA201" i="4"/>
  <c r="T201" i="4"/>
  <c r="AB201" i="4" s="1"/>
  <c r="AS201" i="4" s="1"/>
  <c r="AU201" i="4" s="1"/>
  <c r="A201" i="4"/>
  <c r="AA200" i="4"/>
  <c r="T200" i="4"/>
  <c r="AB200" i="4" s="1"/>
  <c r="AS200" i="4" s="1"/>
  <c r="AU200" i="4" s="1"/>
  <c r="A200" i="4"/>
  <c r="AA199" i="4"/>
  <c r="T199" i="4"/>
  <c r="AB199" i="4" s="1"/>
  <c r="AS199" i="4" s="1"/>
  <c r="AU199" i="4" s="1"/>
  <c r="A199" i="4"/>
  <c r="AA198" i="4"/>
  <c r="T198" i="4"/>
  <c r="AB198" i="4" s="1"/>
  <c r="AS198" i="4" s="1"/>
  <c r="AU198" i="4" s="1"/>
  <c r="A198" i="4"/>
  <c r="AA197" i="4"/>
  <c r="T197" i="4"/>
  <c r="AB197" i="4" s="1"/>
  <c r="AS197" i="4" s="1"/>
  <c r="AU197" i="4" s="1"/>
  <c r="A197" i="4"/>
  <c r="AA196" i="4"/>
  <c r="T196" i="4"/>
  <c r="AB196" i="4" s="1"/>
  <c r="AS196" i="4" s="1"/>
  <c r="AU196" i="4" s="1"/>
  <c r="A196" i="4"/>
  <c r="AA195" i="4"/>
  <c r="T195" i="4"/>
  <c r="AB195" i="4" s="1"/>
  <c r="AS195" i="4" s="1"/>
  <c r="AU195" i="4" s="1"/>
  <c r="A195" i="4"/>
  <c r="AA194" i="4"/>
  <c r="T194" i="4"/>
  <c r="AB194" i="4" s="1"/>
  <c r="AS194" i="4" s="1"/>
  <c r="AU194" i="4" s="1"/>
  <c r="A194" i="4"/>
  <c r="AA193" i="4"/>
  <c r="T193" i="4"/>
  <c r="AB193" i="4" s="1"/>
  <c r="AS193" i="4" s="1"/>
  <c r="AU193" i="4" s="1"/>
  <c r="A193" i="4"/>
  <c r="AA192" i="4"/>
  <c r="T192" i="4"/>
  <c r="AB192" i="4" s="1"/>
  <c r="AS192" i="4" s="1"/>
  <c r="AU192" i="4" s="1"/>
  <c r="A192" i="4"/>
  <c r="AA191" i="4"/>
  <c r="T191" i="4"/>
  <c r="AB191" i="4" s="1"/>
  <c r="AS191" i="4" s="1"/>
  <c r="AU191" i="4" s="1"/>
  <c r="A191" i="4"/>
  <c r="AA190" i="4"/>
  <c r="T190" i="4"/>
  <c r="AB190" i="4" s="1"/>
  <c r="AS190" i="4" s="1"/>
  <c r="AU190" i="4" s="1"/>
  <c r="A190" i="4"/>
  <c r="AA189" i="4"/>
  <c r="T189" i="4"/>
  <c r="AB189" i="4" s="1"/>
  <c r="AS189" i="4" s="1"/>
  <c r="AU189" i="4" s="1"/>
  <c r="A189" i="4"/>
  <c r="AA188" i="4"/>
  <c r="T188" i="4"/>
  <c r="AB188" i="4" s="1"/>
  <c r="AS188" i="4" s="1"/>
  <c r="AU188" i="4" s="1"/>
  <c r="A188" i="4"/>
  <c r="AA187" i="4"/>
  <c r="T187" i="4"/>
  <c r="AB187" i="4" s="1"/>
  <c r="AS187" i="4" s="1"/>
  <c r="AU187" i="4" s="1"/>
  <c r="A187" i="4"/>
  <c r="AA186" i="4"/>
  <c r="T186" i="4"/>
  <c r="AB186" i="4" s="1"/>
  <c r="AS186" i="4" s="1"/>
  <c r="AU186" i="4" s="1"/>
  <c r="A186" i="4"/>
  <c r="AA185" i="4"/>
  <c r="T185" i="4"/>
  <c r="AB185" i="4" s="1"/>
  <c r="AS185" i="4" s="1"/>
  <c r="AU185" i="4" s="1"/>
  <c r="A185" i="4"/>
  <c r="AA184" i="4"/>
  <c r="T184" i="4"/>
  <c r="AB184" i="4" s="1"/>
  <c r="AS184" i="4" s="1"/>
  <c r="AU184" i="4" s="1"/>
  <c r="A184" i="4"/>
  <c r="AA183" i="4"/>
  <c r="T183" i="4"/>
  <c r="AB183" i="4" s="1"/>
  <c r="AS183" i="4" s="1"/>
  <c r="AU183" i="4" s="1"/>
  <c r="A183" i="4"/>
  <c r="AA182" i="4"/>
  <c r="T182" i="4"/>
  <c r="AB182" i="4" s="1"/>
  <c r="AS182" i="4" s="1"/>
  <c r="AU182" i="4" s="1"/>
  <c r="A182" i="4"/>
  <c r="AA181" i="4"/>
  <c r="T181" i="4"/>
  <c r="AB181" i="4" s="1"/>
  <c r="AS181" i="4" s="1"/>
  <c r="AU181" i="4" s="1"/>
  <c r="A181" i="4"/>
  <c r="AA180" i="4"/>
  <c r="T180" i="4"/>
  <c r="AB180" i="4" s="1"/>
  <c r="AS180" i="4" s="1"/>
  <c r="AU180" i="4" s="1"/>
  <c r="A180" i="4"/>
  <c r="AA179" i="4"/>
  <c r="T179" i="4"/>
  <c r="AB179" i="4" s="1"/>
  <c r="AS179" i="4" s="1"/>
  <c r="AU179" i="4" s="1"/>
  <c r="A179" i="4"/>
  <c r="AA178" i="4"/>
  <c r="T178" i="4"/>
  <c r="AB178" i="4" s="1"/>
  <c r="AS178" i="4" s="1"/>
  <c r="AU178" i="4" s="1"/>
  <c r="A178" i="4"/>
  <c r="AA177" i="4"/>
  <c r="T177" i="4"/>
  <c r="AB177" i="4" s="1"/>
  <c r="AS177" i="4" s="1"/>
  <c r="AU177" i="4" s="1"/>
  <c r="A177" i="4"/>
  <c r="AA176" i="4"/>
  <c r="T176" i="4"/>
  <c r="AB176" i="4" s="1"/>
  <c r="AS176" i="4" s="1"/>
  <c r="AU176" i="4" s="1"/>
  <c r="A176" i="4"/>
  <c r="AA175" i="4"/>
  <c r="T175" i="4"/>
  <c r="AB175" i="4" s="1"/>
  <c r="AS175" i="4" s="1"/>
  <c r="AU175" i="4" s="1"/>
  <c r="A175" i="4"/>
  <c r="AA174" i="4"/>
  <c r="T174" i="4"/>
  <c r="AB174" i="4" s="1"/>
  <c r="AS174" i="4" s="1"/>
  <c r="AU174" i="4" s="1"/>
  <c r="A174" i="4"/>
  <c r="AA173" i="4"/>
  <c r="T173" i="4"/>
  <c r="AB173" i="4" s="1"/>
  <c r="AS173" i="4" s="1"/>
  <c r="AU173" i="4" s="1"/>
  <c r="A173" i="4"/>
  <c r="AA172" i="4"/>
  <c r="T172" i="4"/>
  <c r="AB172" i="4" s="1"/>
  <c r="AS172" i="4" s="1"/>
  <c r="AU172" i="4" s="1"/>
  <c r="A172" i="4"/>
  <c r="AA171" i="4"/>
  <c r="T171" i="4"/>
  <c r="AB171" i="4" s="1"/>
  <c r="AS171" i="4" s="1"/>
  <c r="AU171" i="4" s="1"/>
  <c r="A171" i="4"/>
  <c r="AA170" i="4"/>
  <c r="T170" i="4"/>
  <c r="AB170" i="4" s="1"/>
  <c r="AS170" i="4" s="1"/>
  <c r="AU170" i="4" s="1"/>
  <c r="A170" i="4"/>
  <c r="AA169" i="4"/>
  <c r="T169" i="4"/>
  <c r="AB169" i="4" s="1"/>
  <c r="AS169" i="4" s="1"/>
  <c r="AU169" i="4" s="1"/>
  <c r="A169" i="4"/>
  <c r="AA168" i="4"/>
  <c r="T168" i="4"/>
  <c r="AB168" i="4" s="1"/>
  <c r="AS168" i="4" s="1"/>
  <c r="AU168" i="4" s="1"/>
  <c r="A168" i="4"/>
  <c r="AA167" i="4"/>
  <c r="T167" i="4"/>
  <c r="AB167" i="4" s="1"/>
  <c r="AS167" i="4" s="1"/>
  <c r="AU167" i="4" s="1"/>
  <c r="A167" i="4"/>
  <c r="AA166" i="4"/>
  <c r="T166" i="4"/>
  <c r="AB166" i="4" s="1"/>
  <c r="AS166" i="4" s="1"/>
  <c r="AU166" i="4" s="1"/>
  <c r="A166" i="4"/>
  <c r="AA165" i="4"/>
  <c r="T165" i="4"/>
  <c r="AB165" i="4" s="1"/>
  <c r="AS165" i="4" s="1"/>
  <c r="AU165" i="4" s="1"/>
  <c r="A165" i="4"/>
  <c r="AA164" i="4"/>
  <c r="T164" i="4"/>
  <c r="AB164" i="4" s="1"/>
  <c r="AS164" i="4" s="1"/>
  <c r="AU164" i="4" s="1"/>
  <c r="A164" i="4"/>
  <c r="AA163" i="4"/>
  <c r="T163" i="4"/>
  <c r="AB163" i="4" s="1"/>
  <c r="AS163" i="4" s="1"/>
  <c r="AU163" i="4" s="1"/>
  <c r="A163" i="4"/>
  <c r="AA162" i="4"/>
  <c r="T162" i="4"/>
  <c r="AB162" i="4" s="1"/>
  <c r="AS162" i="4" s="1"/>
  <c r="AU162" i="4" s="1"/>
  <c r="A162" i="4"/>
  <c r="AA161" i="4"/>
  <c r="T161" i="4"/>
  <c r="AB161" i="4" s="1"/>
  <c r="AS161" i="4" s="1"/>
  <c r="AU161" i="4" s="1"/>
  <c r="A161" i="4"/>
  <c r="AA160" i="4"/>
  <c r="T160" i="4"/>
  <c r="AB160" i="4" s="1"/>
  <c r="AS160" i="4" s="1"/>
  <c r="AU160" i="4" s="1"/>
  <c r="A160" i="4"/>
  <c r="AA159" i="4"/>
  <c r="T159" i="4"/>
  <c r="AB159" i="4" s="1"/>
  <c r="AS159" i="4" s="1"/>
  <c r="AU159" i="4" s="1"/>
  <c r="A159" i="4"/>
  <c r="AA158" i="4"/>
  <c r="T158" i="4"/>
  <c r="AB158" i="4" s="1"/>
  <c r="AS158" i="4" s="1"/>
  <c r="AU158" i="4" s="1"/>
  <c r="A158" i="4"/>
  <c r="AA157" i="4"/>
  <c r="T157" i="4"/>
  <c r="AB157" i="4" s="1"/>
  <c r="AS157" i="4" s="1"/>
  <c r="AU157" i="4" s="1"/>
  <c r="A157" i="4"/>
  <c r="AA156" i="4"/>
  <c r="T156" i="4"/>
  <c r="AB156" i="4" s="1"/>
  <c r="AS156" i="4" s="1"/>
  <c r="AU156" i="4" s="1"/>
  <c r="A156" i="4"/>
  <c r="AA155" i="4"/>
  <c r="T155" i="4"/>
  <c r="AB155" i="4" s="1"/>
  <c r="AS155" i="4" s="1"/>
  <c r="AU155" i="4" s="1"/>
  <c r="A155" i="4"/>
  <c r="AA154" i="4"/>
  <c r="T154" i="4"/>
  <c r="AB154" i="4" s="1"/>
  <c r="AS154" i="4" s="1"/>
  <c r="AU154" i="4" s="1"/>
  <c r="A154" i="4"/>
  <c r="AA153" i="4"/>
  <c r="T153" i="4"/>
  <c r="AB153" i="4" s="1"/>
  <c r="AS153" i="4" s="1"/>
  <c r="AU153" i="4" s="1"/>
  <c r="A153" i="4"/>
  <c r="AA152" i="4"/>
  <c r="T152" i="4"/>
  <c r="AB152" i="4" s="1"/>
  <c r="AS152" i="4" s="1"/>
  <c r="AU152" i="4" s="1"/>
  <c r="A152" i="4"/>
  <c r="AA151" i="4"/>
  <c r="T151" i="4"/>
  <c r="AB151" i="4" s="1"/>
  <c r="AS151" i="4" s="1"/>
  <c r="AU151" i="4" s="1"/>
  <c r="A151" i="4"/>
  <c r="AA150" i="4"/>
  <c r="T150" i="4"/>
  <c r="AB150" i="4" s="1"/>
  <c r="AS150" i="4" s="1"/>
  <c r="AU150" i="4" s="1"/>
  <c r="A150" i="4"/>
  <c r="AA149" i="4"/>
  <c r="T149" i="4"/>
  <c r="AB149" i="4" s="1"/>
  <c r="AS149" i="4" s="1"/>
  <c r="AU149" i="4" s="1"/>
  <c r="A149" i="4"/>
  <c r="AA148" i="4"/>
  <c r="T148" i="4"/>
  <c r="AB148" i="4" s="1"/>
  <c r="AS148" i="4" s="1"/>
  <c r="AU148" i="4" s="1"/>
  <c r="A148" i="4"/>
  <c r="AA147" i="4"/>
  <c r="T147" i="4"/>
  <c r="AB147" i="4" s="1"/>
  <c r="AS147" i="4" s="1"/>
  <c r="AU147" i="4" s="1"/>
  <c r="A147" i="4"/>
  <c r="AA146" i="4"/>
  <c r="T146" i="4"/>
  <c r="AB146" i="4" s="1"/>
  <c r="AS146" i="4" s="1"/>
  <c r="AU146" i="4" s="1"/>
  <c r="A146" i="4"/>
  <c r="AA145" i="4"/>
  <c r="T145" i="4"/>
  <c r="AB145" i="4" s="1"/>
  <c r="AS145" i="4" s="1"/>
  <c r="AU145" i="4" s="1"/>
  <c r="A145" i="4"/>
  <c r="AA144" i="4"/>
  <c r="T144" i="4"/>
  <c r="AB144" i="4" s="1"/>
  <c r="AS144" i="4" s="1"/>
  <c r="AU144" i="4" s="1"/>
  <c r="A144" i="4"/>
  <c r="AA143" i="4"/>
  <c r="T143" i="4"/>
  <c r="AB143" i="4" s="1"/>
  <c r="AS143" i="4" s="1"/>
  <c r="AU143" i="4" s="1"/>
  <c r="A143" i="4"/>
  <c r="AA142" i="4"/>
  <c r="T142" i="4"/>
  <c r="AB142" i="4" s="1"/>
  <c r="AS142" i="4" s="1"/>
  <c r="AU142" i="4" s="1"/>
  <c r="A142" i="4"/>
  <c r="AA141" i="4"/>
  <c r="T141" i="4"/>
  <c r="AB141" i="4" s="1"/>
  <c r="AS141" i="4" s="1"/>
  <c r="AU141" i="4" s="1"/>
  <c r="A141" i="4"/>
  <c r="AA140" i="4"/>
  <c r="T140" i="4"/>
  <c r="AB140" i="4" s="1"/>
  <c r="AS140" i="4" s="1"/>
  <c r="AU140" i="4" s="1"/>
  <c r="A140" i="4"/>
  <c r="AA139" i="4"/>
  <c r="T139" i="4"/>
  <c r="AB139" i="4" s="1"/>
  <c r="AS139" i="4" s="1"/>
  <c r="AU139" i="4" s="1"/>
  <c r="A139" i="4"/>
  <c r="AA138" i="4"/>
  <c r="T138" i="4"/>
  <c r="AB138" i="4" s="1"/>
  <c r="AS138" i="4" s="1"/>
  <c r="AU138" i="4" s="1"/>
  <c r="A138" i="4"/>
  <c r="AA137" i="4"/>
  <c r="T137" i="4"/>
  <c r="AB137" i="4" s="1"/>
  <c r="AS137" i="4" s="1"/>
  <c r="AU137" i="4" s="1"/>
  <c r="A137" i="4"/>
  <c r="AA136" i="4"/>
  <c r="T136" i="4"/>
  <c r="AB136" i="4" s="1"/>
  <c r="AS136" i="4" s="1"/>
  <c r="AU136" i="4" s="1"/>
  <c r="A136" i="4"/>
  <c r="AA135" i="4"/>
  <c r="T135" i="4"/>
  <c r="AB135" i="4" s="1"/>
  <c r="AS135" i="4" s="1"/>
  <c r="AU135" i="4" s="1"/>
  <c r="A135" i="4"/>
  <c r="AA134" i="4"/>
  <c r="T134" i="4"/>
  <c r="AB134" i="4" s="1"/>
  <c r="AS134" i="4" s="1"/>
  <c r="AU134" i="4" s="1"/>
  <c r="A134" i="4"/>
  <c r="AA133" i="4"/>
  <c r="T133" i="4"/>
  <c r="AB133" i="4" s="1"/>
  <c r="AS133" i="4" s="1"/>
  <c r="AU133" i="4" s="1"/>
  <c r="A133" i="4"/>
  <c r="AA132" i="4"/>
  <c r="T132" i="4"/>
  <c r="AB132" i="4" s="1"/>
  <c r="AS132" i="4" s="1"/>
  <c r="AU132" i="4" s="1"/>
  <c r="A132" i="4"/>
  <c r="AA131" i="4"/>
  <c r="T131" i="4"/>
  <c r="AB131" i="4" s="1"/>
  <c r="AS131" i="4" s="1"/>
  <c r="AU131" i="4" s="1"/>
  <c r="A131" i="4"/>
  <c r="AA130" i="4"/>
  <c r="T130" i="4"/>
  <c r="AB130" i="4" s="1"/>
  <c r="AS130" i="4" s="1"/>
  <c r="AU130" i="4" s="1"/>
  <c r="A130" i="4"/>
  <c r="AA129" i="4"/>
  <c r="T129" i="4"/>
  <c r="AB129" i="4" s="1"/>
  <c r="AS129" i="4" s="1"/>
  <c r="AU129" i="4" s="1"/>
  <c r="A129" i="4"/>
  <c r="AA128" i="4"/>
  <c r="T128" i="4"/>
  <c r="AB128" i="4" s="1"/>
  <c r="AS128" i="4" s="1"/>
  <c r="AU128" i="4" s="1"/>
  <c r="A128" i="4"/>
  <c r="AA127" i="4"/>
  <c r="T127" i="4"/>
  <c r="AB127" i="4" s="1"/>
  <c r="AS127" i="4" s="1"/>
  <c r="AU127" i="4" s="1"/>
  <c r="A127" i="4"/>
  <c r="AA126" i="4"/>
  <c r="T126" i="4"/>
  <c r="AB126" i="4" s="1"/>
  <c r="AS126" i="4" s="1"/>
  <c r="AU126" i="4" s="1"/>
  <c r="A126" i="4"/>
  <c r="AA125" i="4"/>
  <c r="T125" i="4"/>
  <c r="AB125" i="4" s="1"/>
  <c r="AS125" i="4" s="1"/>
  <c r="AU125" i="4" s="1"/>
  <c r="A125" i="4"/>
  <c r="AA124" i="4"/>
  <c r="T124" i="4"/>
  <c r="AB124" i="4" s="1"/>
  <c r="AS124" i="4" s="1"/>
  <c r="AU124" i="4" s="1"/>
  <c r="A124" i="4"/>
  <c r="AA123" i="4"/>
  <c r="T123" i="4"/>
  <c r="AB123" i="4" s="1"/>
  <c r="AS123" i="4" s="1"/>
  <c r="AU123" i="4" s="1"/>
  <c r="A123" i="4"/>
  <c r="AA122" i="4"/>
  <c r="T122" i="4"/>
  <c r="AB122" i="4" s="1"/>
  <c r="AS122" i="4" s="1"/>
  <c r="AU122" i="4" s="1"/>
  <c r="A122" i="4"/>
  <c r="AA121" i="4"/>
  <c r="T121" i="4"/>
  <c r="AB121" i="4" s="1"/>
  <c r="AS121" i="4" s="1"/>
  <c r="AU121" i="4" s="1"/>
  <c r="A121" i="4"/>
  <c r="AA120" i="4"/>
  <c r="T120" i="4"/>
  <c r="AB120" i="4" s="1"/>
  <c r="AS120" i="4" s="1"/>
  <c r="AU120" i="4" s="1"/>
  <c r="A120" i="4"/>
  <c r="AA119" i="4"/>
  <c r="T119" i="4"/>
  <c r="AB119" i="4" s="1"/>
  <c r="AS119" i="4" s="1"/>
  <c r="AU119" i="4" s="1"/>
  <c r="A119" i="4"/>
  <c r="AA118" i="4"/>
  <c r="T118" i="4"/>
  <c r="AB118" i="4" s="1"/>
  <c r="AS118" i="4" s="1"/>
  <c r="AU118" i="4" s="1"/>
  <c r="A118" i="4"/>
  <c r="AA117" i="4"/>
  <c r="T117" i="4"/>
  <c r="AB117" i="4" s="1"/>
  <c r="AS117" i="4" s="1"/>
  <c r="AU117" i="4" s="1"/>
  <c r="A117" i="4"/>
  <c r="AA116" i="4"/>
  <c r="T116" i="4"/>
  <c r="AB116" i="4" s="1"/>
  <c r="AS116" i="4" s="1"/>
  <c r="AU116" i="4" s="1"/>
  <c r="A116" i="4"/>
  <c r="AA115" i="4"/>
  <c r="T115" i="4"/>
  <c r="AB115" i="4" s="1"/>
  <c r="AS115" i="4" s="1"/>
  <c r="AU115" i="4" s="1"/>
  <c r="A115" i="4"/>
  <c r="AA114" i="4"/>
  <c r="T114" i="4"/>
  <c r="AB114" i="4" s="1"/>
  <c r="AS114" i="4" s="1"/>
  <c r="AU114" i="4" s="1"/>
  <c r="A114" i="4"/>
  <c r="AA113" i="4"/>
  <c r="T113" i="4"/>
  <c r="AB113" i="4" s="1"/>
  <c r="AS113" i="4" s="1"/>
  <c r="AU113" i="4" s="1"/>
  <c r="A113" i="4"/>
  <c r="AA112" i="4"/>
  <c r="T112" i="4"/>
  <c r="AB112" i="4" s="1"/>
  <c r="AS112" i="4" s="1"/>
  <c r="AU112" i="4" s="1"/>
  <c r="A112" i="4"/>
  <c r="AA111" i="4"/>
  <c r="T111" i="4"/>
  <c r="AB111" i="4" s="1"/>
  <c r="AS111" i="4" s="1"/>
  <c r="AU111" i="4" s="1"/>
  <c r="A111" i="4"/>
  <c r="AA110" i="4"/>
  <c r="T110" i="4"/>
  <c r="AB110" i="4" s="1"/>
  <c r="AS110" i="4" s="1"/>
  <c r="AU110" i="4" s="1"/>
  <c r="A110" i="4"/>
  <c r="AA109" i="4"/>
  <c r="T109" i="4"/>
  <c r="AB109" i="4" s="1"/>
  <c r="AS109" i="4" s="1"/>
  <c r="AU109" i="4" s="1"/>
  <c r="A109" i="4"/>
  <c r="AA108" i="4"/>
  <c r="T108" i="4"/>
  <c r="AB108" i="4" s="1"/>
  <c r="AS108" i="4" s="1"/>
  <c r="AU108" i="4" s="1"/>
  <c r="A108" i="4"/>
  <c r="AA107" i="4"/>
  <c r="T107" i="4"/>
  <c r="AB107" i="4" s="1"/>
  <c r="AS107" i="4" s="1"/>
  <c r="AU107" i="4" s="1"/>
  <c r="A107" i="4"/>
  <c r="AA106" i="4"/>
  <c r="T106" i="4"/>
  <c r="AB106" i="4" s="1"/>
  <c r="AS106" i="4" s="1"/>
  <c r="AU106" i="4" s="1"/>
  <c r="A106" i="4"/>
  <c r="AA105" i="4"/>
  <c r="T105" i="4"/>
  <c r="AB105" i="4" s="1"/>
  <c r="AS105" i="4" s="1"/>
  <c r="AU105" i="4" s="1"/>
  <c r="A105" i="4"/>
  <c r="AA104" i="4"/>
  <c r="T104" i="4"/>
  <c r="AB104" i="4" s="1"/>
  <c r="AS104" i="4" s="1"/>
  <c r="AU104" i="4" s="1"/>
  <c r="A104" i="4"/>
  <c r="AA103" i="4"/>
  <c r="T103" i="4"/>
  <c r="AB103" i="4" s="1"/>
  <c r="AS103" i="4" s="1"/>
  <c r="AU103" i="4" s="1"/>
  <c r="A103" i="4"/>
  <c r="AA102" i="4"/>
  <c r="T102" i="4"/>
  <c r="AB102" i="4" s="1"/>
  <c r="AS102" i="4" s="1"/>
  <c r="AU102" i="4" s="1"/>
  <c r="A102" i="4"/>
  <c r="AA101" i="4"/>
  <c r="T101" i="4"/>
  <c r="AB101" i="4" s="1"/>
  <c r="AS101" i="4" s="1"/>
  <c r="AU101" i="4" s="1"/>
  <c r="A101" i="4"/>
  <c r="AA100" i="4"/>
  <c r="T100" i="4"/>
  <c r="AB100" i="4" s="1"/>
  <c r="AS100" i="4" s="1"/>
  <c r="AU100" i="4" s="1"/>
  <c r="A100" i="4"/>
  <c r="AA99" i="4"/>
  <c r="T99" i="4"/>
  <c r="AB99" i="4" s="1"/>
  <c r="AS99" i="4" s="1"/>
  <c r="AU99" i="4" s="1"/>
  <c r="A99" i="4"/>
  <c r="AA98" i="4"/>
  <c r="T98" i="4"/>
  <c r="AB98" i="4" s="1"/>
  <c r="AS98" i="4" s="1"/>
  <c r="AU98" i="4" s="1"/>
  <c r="A98" i="4"/>
  <c r="AA97" i="4"/>
  <c r="T97" i="4"/>
  <c r="AB97" i="4" s="1"/>
  <c r="AS97" i="4" s="1"/>
  <c r="AU97" i="4" s="1"/>
  <c r="A97" i="4"/>
  <c r="AA96" i="4"/>
  <c r="T96" i="4"/>
  <c r="AB96" i="4" s="1"/>
  <c r="AS96" i="4" s="1"/>
  <c r="AU96" i="4" s="1"/>
  <c r="A96" i="4"/>
  <c r="AA95" i="4"/>
  <c r="T95" i="4"/>
  <c r="AB95" i="4" s="1"/>
  <c r="AS95" i="4" s="1"/>
  <c r="AU95" i="4" s="1"/>
  <c r="A95" i="4"/>
  <c r="AA94" i="4"/>
  <c r="T94" i="4"/>
  <c r="AB94" i="4" s="1"/>
  <c r="AS94" i="4" s="1"/>
  <c r="AU94" i="4" s="1"/>
  <c r="A94" i="4"/>
  <c r="AA93" i="4"/>
  <c r="T93" i="4"/>
  <c r="AB93" i="4" s="1"/>
  <c r="AS93" i="4" s="1"/>
  <c r="AU93" i="4" s="1"/>
  <c r="A93" i="4"/>
  <c r="AA92" i="4"/>
  <c r="T92" i="4"/>
  <c r="AB92" i="4" s="1"/>
  <c r="AS92" i="4" s="1"/>
  <c r="AU92" i="4" s="1"/>
  <c r="A92" i="4"/>
  <c r="AA91" i="4"/>
  <c r="T91" i="4"/>
  <c r="AB91" i="4" s="1"/>
  <c r="AS91" i="4" s="1"/>
  <c r="AU91" i="4" s="1"/>
  <c r="A91" i="4"/>
  <c r="AA90" i="4"/>
  <c r="T90" i="4"/>
  <c r="AB90" i="4" s="1"/>
  <c r="AS90" i="4" s="1"/>
  <c r="AU90" i="4" s="1"/>
  <c r="A90" i="4"/>
  <c r="AA89" i="4"/>
  <c r="T89" i="4"/>
  <c r="AB89" i="4" s="1"/>
  <c r="AS89" i="4" s="1"/>
  <c r="AU89" i="4" s="1"/>
  <c r="A89" i="4"/>
  <c r="AA88" i="4"/>
  <c r="T88" i="4"/>
  <c r="AB88" i="4" s="1"/>
  <c r="AS88" i="4" s="1"/>
  <c r="AU88" i="4" s="1"/>
  <c r="A88" i="4"/>
  <c r="AA87" i="4"/>
  <c r="T87" i="4"/>
  <c r="AB87" i="4" s="1"/>
  <c r="AS87" i="4" s="1"/>
  <c r="AU87" i="4" s="1"/>
  <c r="A87" i="4"/>
  <c r="AA86" i="4"/>
  <c r="T86" i="4"/>
  <c r="AB86" i="4" s="1"/>
  <c r="AS86" i="4" s="1"/>
  <c r="AU86" i="4" s="1"/>
  <c r="A86" i="4"/>
  <c r="AA85" i="4"/>
  <c r="T85" i="4"/>
  <c r="AB85" i="4" s="1"/>
  <c r="AS85" i="4" s="1"/>
  <c r="AU85" i="4" s="1"/>
  <c r="A85" i="4"/>
  <c r="AA84" i="4"/>
  <c r="T84" i="4"/>
  <c r="AB84" i="4" s="1"/>
  <c r="AS84" i="4" s="1"/>
  <c r="AU84" i="4" s="1"/>
  <c r="A84" i="4"/>
  <c r="AA83" i="4"/>
  <c r="T83" i="4"/>
  <c r="AB83" i="4" s="1"/>
  <c r="AS83" i="4" s="1"/>
  <c r="AU83" i="4" s="1"/>
  <c r="A83" i="4"/>
  <c r="AA82" i="4"/>
  <c r="T82" i="4"/>
  <c r="AB82" i="4" s="1"/>
  <c r="AS82" i="4" s="1"/>
  <c r="AU82" i="4" s="1"/>
  <c r="A82" i="4"/>
  <c r="AA81" i="4"/>
  <c r="T81" i="4"/>
  <c r="AB81" i="4" s="1"/>
  <c r="AS81" i="4" s="1"/>
  <c r="AU81" i="4" s="1"/>
  <c r="A81" i="4"/>
  <c r="AA80" i="4"/>
  <c r="T80" i="4"/>
  <c r="AB80" i="4" s="1"/>
  <c r="AS80" i="4" s="1"/>
  <c r="AU80" i="4" s="1"/>
  <c r="A80" i="4"/>
  <c r="AA79" i="4"/>
  <c r="T79" i="4"/>
  <c r="AB79" i="4" s="1"/>
  <c r="AS79" i="4" s="1"/>
  <c r="AU79" i="4" s="1"/>
  <c r="A79" i="4"/>
  <c r="AA78" i="4"/>
  <c r="T78" i="4"/>
  <c r="AB78" i="4" s="1"/>
  <c r="AS78" i="4" s="1"/>
  <c r="AU78" i="4" s="1"/>
  <c r="A78" i="4"/>
  <c r="AA77" i="4"/>
  <c r="T77" i="4"/>
  <c r="AB77" i="4" s="1"/>
  <c r="AS77" i="4" s="1"/>
  <c r="AU77" i="4" s="1"/>
  <c r="A77" i="4"/>
  <c r="AA76" i="4"/>
  <c r="T76" i="4"/>
  <c r="AB76" i="4" s="1"/>
  <c r="AS76" i="4" s="1"/>
  <c r="AU76" i="4" s="1"/>
  <c r="A76" i="4"/>
  <c r="AA75" i="4"/>
  <c r="T75" i="4"/>
  <c r="AB75" i="4" s="1"/>
  <c r="AS75" i="4" s="1"/>
  <c r="AU75" i="4" s="1"/>
  <c r="A75" i="4"/>
  <c r="AA74" i="4"/>
  <c r="T74" i="4"/>
  <c r="AB74" i="4" s="1"/>
  <c r="AS74" i="4" s="1"/>
  <c r="AU74" i="4" s="1"/>
  <c r="A74" i="4"/>
  <c r="AA73" i="4"/>
  <c r="T73" i="4"/>
  <c r="AB73" i="4" s="1"/>
  <c r="AS73" i="4" s="1"/>
  <c r="AU73" i="4" s="1"/>
  <c r="A73" i="4"/>
  <c r="AA72" i="4"/>
  <c r="T72" i="4"/>
  <c r="AB72" i="4" s="1"/>
  <c r="AS72" i="4" s="1"/>
  <c r="AU72" i="4" s="1"/>
  <c r="A72" i="4"/>
  <c r="AA71" i="4"/>
  <c r="T71" i="4"/>
  <c r="AB71" i="4" s="1"/>
  <c r="AS71" i="4" s="1"/>
  <c r="AU71" i="4" s="1"/>
  <c r="A71" i="4"/>
  <c r="AA70" i="4"/>
  <c r="T70" i="4"/>
  <c r="AB70" i="4" s="1"/>
  <c r="AS70" i="4" s="1"/>
  <c r="AU70" i="4" s="1"/>
  <c r="A70" i="4"/>
  <c r="AA69" i="4"/>
  <c r="T69" i="4"/>
  <c r="AB69" i="4" s="1"/>
  <c r="AS69" i="4" s="1"/>
  <c r="AU69" i="4" s="1"/>
  <c r="A69" i="4"/>
  <c r="AA68" i="4"/>
  <c r="T68" i="4"/>
  <c r="AB68" i="4" s="1"/>
  <c r="AS68" i="4" s="1"/>
  <c r="AU68" i="4" s="1"/>
  <c r="A68" i="4"/>
  <c r="AA67" i="4"/>
  <c r="T67" i="4"/>
  <c r="AB67" i="4" s="1"/>
  <c r="AS67" i="4" s="1"/>
  <c r="AU67" i="4" s="1"/>
  <c r="A67" i="4"/>
  <c r="AA66" i="4"/>
  <c r="T66" i="4"/>
  <c r="AB66" i="4" s="1"/>
  <c r="AS66" i="4" s="1"/>
  <c r="AU66" i="4" s="1"/>
  <c r="A66" i="4"/>
  <c r="AA65" i="4"/>
  <c r="T65" i="4"/>
  <c r="AB65" i="4" s="1"/>
  <c r="AS65" i="4" s="1"/>
  <c r="AU65" i="4" s="1"/>
  <c r="A65" i="4"/>
  <c r="AA64" i="4"/>
  <c r="T64" i="4"/>
  <c r="AB64" i="4" s="1"/>
  <c r="AS64" i="4" s="1"/>
  <c r="AU64" i="4" s="1"/>
  <c r="A64" i="4"/>
  <c r="AA63" i="4"/>
  <c r="T63" i="4"/>
  <c r="AB63" i="4" s="1"/>
  <c r="AS63" i="4" s="1"/>
  <c r="AU63" i="4" s="1"/>
  <c r="A63" i="4"/>
  <c r="AA62" i="4"/>
  <c r="T62" i="4"/>
  <c r="AB62" i="4" s="1"/>
  <c r="AS62" i="4" s="1"/>
  <c r="AU62" i="4" s="1"/>
  <c r="A62" i="4"/>
  <c r="AA61" i="4"/>
  <c r="T61" i="4"/>
  <c r="AB61" i="4" s="1"/>
  <c r="AS61" i="4" s="1"/>
  <c r="AU61" i="4" s="1"/>
  <c r="A61" i="4"/>
  <c r="AA60" i="4"/>
  <c r="T60" i="4"/>
  <c r="AB60" i="4" s="1"/>
  <c r="AS60" i="4" s="1"/>
  <c r="AU60" i="4" s="1"/>
  <c r="A60" i="4"/>
  <c r="AA59" i="4"/>
  <c r="T59" i="4"/>
  <c r="AB59" i="4" s="1"/>
  <c r="AS59" i="4" s="1"/>
  <c r="AU59" i="4" s="1"/>
  <c r="A59" i="4"/>
  <c r="AA58" i="4"/>
  <c r="T58" i="4"/>
  <c r="AB58" i="4" s="1"/>
  <c r="AS58" i="4" s="1"/>
  <c r="AU58" i="4" s="1"/>
  <c r="A58" i="4"/>
  <c r="AA57" i="4"/>
  <c r="T57" i="4"/>
  <c r="AB57" i="4" s="1"/>
  <c r="AS57" i="4" s="1"/>
  <c r="AU57" i="4" s="1"/>
  <c r="A57" i="4"/>
  <c r="AA56" i="4"/>
  <c r="T56" i="4"/>
  <c r="AB56" i="4" s="1"/>
  <c r="AS56" i="4" s="1"/>
  <c r="AU56" i="4" s="1"/>
  <c r="A56" i="4"/>
  <c r="AA55" i="4"/>
  <c r="T55" i="4"/>
  <c r="AB55" i="4" s="1"/>
  <c r="AS55" i="4" s="1"/>
  <c r="AU55" i="4" s="1"/>
  <c r="A55" i="4"/>
  <c r="AA54" i="4"/>
  <c r="T54" i="4"/>
  <c r="AB54" i="4" s="1"/>
  <c r="AS54" i="4" s="1"/>
  <c r="AU54" i="4" s="1"/>
  <c r="A54" i="4"/>
  <c r="AA53" i="4"/>
  <c r="T53" i="4"/>
  <c r="AB53" i="4" s="1"/>
  <c r="AS53" i="4" s="1"/>
  <c r="AU53" i="4" s="1"/>
  <c r="A53" i="4"/>
  <c r="AA52" i="4"/>
  <c r="T52" i="4"/>
  <c r="AB52" i="4" s="1"/>
  <c r="AS52" i="4" s="1"/>
  <c r="AU52" i="4" s="1"/>
  <c r="A52" i="4"/>
  <c r="AA51" i="4"/>
  <c r="T51" i="4"/>
  <c r="AB51" i="4" s="1"/>
  <c r="AS51" i="4" s="1"/>
  <c r="AU51" i="4" s="1"/>
  <c r="A51" i="4"/>
  <c r="AA50" i="4"/>
  <c r="T50" i="4"/>
  <c r="AB50" i="4" s="1"/>
  <c r="AS50" i="4" s="1"/>
  <c r="AU50" i="4" s="1"/>
  <c r="A50" i="4"/>
  <c r="AA49" i="4"/>
  <c r="T49" i="4"/>
  <c r="AB49" i="4" s="1"/>
  <c r="AS49" i="4" s="1"/>
  <c r="AU49" i="4" s="1"/>
  <c r="A49" i="4"/>
  <c r="AA48" i="4"/>
  <c r="T48" i="4"/>
  <c r="AB48" i="4" s="1"/>
  <c r="AS48" i="4" s="1"/>
  <c r="AU48" i="4" s="1"/>
  <c r="A48" i="4"/>
  <c r="AA47" i="4"/>
  <c r="T47" i="4"/>
  <c r="AB47" i="4" s="1"/>
  <c r="AS47" i="4" s="1"/>
  <c r="AU47" i="4" s="1"/>
  <c r="A47" i="4"/>
  <c r="AA46" i="4"/>
  <c r="T46" i="4"/>
  <c r="AB46" i="4" s="1"/>
  <c r="AS46" i="4" s="1"/>
  <c r="AU46" i="4" s="1"/>
  <c r="A46" i="4"/>
  <c r="AA45" i="4"/>
  <c r="T45" i="4"/>
  <c r="AB45" i="4" s="1"/>
  <c r="AS45" i="4" s="1"/>
  <c r="AU45" i="4" s="1"/>
  <c r="A45" i="4"/>
  <c r="AA44" i="4"/>
  <c r="T44" i="4"/>
  <c r="AB44" i="4" s="1"/>
  <c r="AS44" i="4" s="1"/>
  <c r="AU44" i="4" s="1"/>
  <c r="A44" i="4"/>
  <c r="AA43" i="4"/>
  <c r="T43" i="4"/>
  <c r="AB43" i="4" s="1"/>
  <c r="AS43" i="4" s="1"/>
  <c r="AU43" i="4" s="1"/>
  <c r="A43" i="4"/>
  <c r="AA42" i="4"/>
  <c r="T42" i="4"/>
  <c r="AB42" i="4" s="1"/>
  <c r="AS42" i="4" s="1"/>
  <c r="AU42" i="4" s="1"/>
  <c r="A42" i="4"/>
  <c r="AA41" i="4"/>
  <c r="T41" i="4"/>
  <c r="AB41" i="4" s="1"/>
  <c r="AS41" i="4" s="1"/>
  <c r="AU41" i="4" s="1"/>
  <c r="A41" i="4"/>
  <c r="AA40" i="4"/>
  <c r="T40" i="4"/>
  <c r="AB40" i="4" s="1"/>
  <c r="AS40" i="4" s="1"/>
  <c r="AU40" i="4" s="1"/>
  <c r="A40" i="4"/>
  <c r="AA39" i="4"/>
  <c r="T39" i="4"/>
  <c r="AB39" i="4" s="1"/>
  <c r="AS39" i="4" s="1"/>
  <c r="AU39" i="4" s="1"/>
  <c r="A39" i="4"/>
  <c r="AA38" i="4"/>
  <c r="T38" i="4"/>
  <c r="AB38" i="4" s="1"/>
  <c r="AS38" i="4" s="1"/>
  <c r="AU38" i="4" s="1"/>
  <c r="A38" i="4"/>
  <c r="AA37" i="4"/>
  <c r="T37" i="4"/>
  <c r="AB37" i="4" s="1"/>
  <c r="AS37" i="4" s="1"/>
  <c r="AU37" i="4" s="1"/>
  <c r="A37" i="4"/>
  <c r="AA36" i="4"/>
  <c r="T36" i="4"/>
  <c r="AB36" i="4" s="1"/>
  <c r="AS36" i="4" s="1"/>
  <c r="AU36" i="4" s="1"/>
  <c r="A36" i="4"/>
  <c r="AA35" i="4"/>
  <c r="T35" i="4"/>
  <c r="AB35" i="4" s="1"/>
  <c r="AS35" i="4" s="1"/>
  <c r="AU35" i="4" s="1"/>
  <c r="A35" i="4"/>
  <c r="AA34" i="4"/>
  <c r="T34" i="4"/>
  <c r="AB34" i="4" s="1"/>
  <c r="AS34" i="4" s="1"/>
  <c r="AU34" i="4" s="1"/>
  <c r="A34" i="4"/>
  <c r="AA33" i="4"/>
  <c r="T33" i="4"/>
  <c r="AB33" i="4" s="1"/>
  <c r="AS33" i="4" s="1"/>
  <c r="AU33" i="4" s="1"/>
  <c r="A33" i="4"/>
  <c r="AA32" i="4"/>
  <c r="T32" i="4"/>
  <c r="AB32" i="4" s="1"/>
  <c r="AS32" i="4" s="1"/>
  <c r="AU32" i="4" s="1"/>
  <c r="A32" i="4"/>
  <c r="AA31" i="4"/>
  <c r="T31" i="4"/>
  <c r="AB31" i="4" s="1"/>
  <c r="AS31" i="4" s="1"/>
  <c r="AU31" i="4" s="1"/>
  <c r="A31" i="4"/>
  <c r="AA30" i="4"/>
  <c r="T30" i="4"/>
  <c r="AB30" i="4" s="1"/>
  <c r="AS30" i="4" s="1"/>
  <c r="AU30" i="4" s="1"/>
  <c r="A30" i="4"/>
  <c r="AA29" i="4"/>
  <c r="T29" i="4"/>
  <c r="AB29" i="4" s="1"/>
  <c r="AS29" i="4" s="1"/>
  <c r="AU29" i="4" s="1"/>
  <c r="A29" i="4"/>
  <c r="AA28" i="4"/>
  <c r="T28" i="4"/>
  <c r="AB28" i="4" s="1"/>
  <c r="AS28" i="4" s="1"/>
  <c r="AU28" i="4" s="1"/>
  <c r="A28" i="4"/>
  <c r="AA27" i="4"/>
  <c r="T27" i="4"/>
  <c r="AB27" i="4" s="1"/>
  <c r="AS27" i="4" s="1"/>
  <c r="AU27" i="4" s="1"/>
  <c r="A27" i="4"/>
  <c r="AA26" i="4"/>
  <c r="T26" i="4"/>
  <c r="AB26" i="4" s="1"/>
  <c r="AS26" i="4" s="1"/>
  <c r="AU26" i="4" s="1"/>
  <c r="A26" i="4"/>
  <c r="AA25" i="4"/>
  <c r="T25" i="4"/>
  <c r="AB25" i="4" s="1"/>
  <c r="AS25" i="4" s="1"/>
  <c r="AU25" i="4" s="1"/>
  <c r="A25" i="4"/>
  <c r="AA24" i="4"/>
  <c r="T24" i="4"/>
  <c r="AB24" i="4" s="1"/>
  <c r="AS24" i="4" s="1"/>
  <c r="AU24" i="4" s="1"/>
  <c r="A24" i="4"/>
  <c r="AA23" i="4"/>
  <c r="T23" i="4"/>
  <c r="AB23" i="4" s="1"/>
  <c r="AS23" i="4" s="1"/>
  <c r="AU23" i="4" s="1"/>
  <c r="A23" i="4"/>
  <c r="AA22" i="4"/>
  <c r="T22" i="4"/>
  <c r="AB22" i="4" s="1"/>
  <c r="AS22" i="4" s="1"/>
  <c r="AU22" i="4" s="1"/>
  <c r="A22" i="4"/>
  <c r="AA21" i="4"/>
  <c r="T21" i="4"/>
  <c r="AB21" i="4" s="1"/>
  <c r="AS21" i="4" s="1"/>
  <c r="AU21" i="4" s="1"/>
  <c r="A21" i="4"/>
  <c r="AA20" i="4"/>
  <c r="T20" i="4"/>
  <c r="AB20" i="4" s="1"/>
  <c r="AS20" i="4" s="1"/>
  <c r="AU20" i="4" s="1"/>
  <c r="A20" i="4"/>
  <c r="AA19" i="4"/>
  <c r="T19" i="4"/>
  <c r="AB19" i="4" s="1"/>
  <c r="AS19" i="4" s="1"/>
  <c r="AU19" i="4" s="1"/>
  <c r="A19" i="4"/>
  <c r="AA18" i="4"/>
  <c r="T18" i="4"/>
  <c r="AB18" i="4" s="1"/>
  <c r="AS18" i="4" s="1"/>
  <c r="AU18" i="4" s="1"/>
  <c r="A18" i="4"/>
  <c r="AA17" i="4"/>
  <c r="T17" i="4"/>
  <c r="AB17" i="4" s="1"/>
  <c r="AS17" i="4" s="1"/>
  <c r="AU17" i="4" s="1"/>
  <c r="A17" i="4"/>
  <c r="AA16" i="4"/>
  <c r="T16" i="4"/>
  <c r="AB16" i="4" s="1"/>
  <c r="AS16" i="4" s="1"/>
  <c r="AU16" i="4" s="1"/>
  <c r="A16" i="4"/>
  <c r="AA15" i="4"/>
  <c r="T15" i="4"/>
  <c r="AB15" i="4" s="1"/>
  <c r="AS15" i="4" s="1"/>
  <c r="AU15" i="4" s="1"/>
  <c r="A15" i="4"/>
  <c r="AA14" i="4"/>
  <c r="T14" i="4"/>
  <c r="AB14" i="4" s="1"/>
  <c r="AS14" i="4" s="1"/>
  <c r="AU14" i="4" s="1"/>
  <c r="A14" i="4"/>
  <c r="AA13" i="4"/>
  <c r="T13" i="4"/>
  <c r="AB13" i="4" s="1"/>
  <c r="AS13" i="4" s="1"/>
  <c r="AU13" i="4" s="1"/>
  <c r="A13" i="4"/>
  <c r="AA12" i="4"/>
  <c r="T12" i="4"/>
  <c r="AB12" i="4" s="1"/>
  <c r="AS12" i="4" s="1"/>
  <c r="AU12" i="4" s="1"/>
  <c r="A12" i="4"/>
  <c r="AA11" i="4"/>
  <c r="T11" i="4"/>
  <c r="AB11" i="4" s="1"/>
  <c r="AS11" i="4" s="1"/>
  <c r="AU11" i="4" s="1"/>
  <c r="A11" i="4"/>
  <c r="AA10" i="4"/>
  <c r="T10" i="4"/>
  <c r="AB10" i="4" s="1"/>
  <c r="AS10" i="4" s="1"/>
  <c r="AU10" i="4" s="1"/>
  <c r="A10" i="4"/>
  <c r="AA9" i="4"/>
  <c r="T9" i="4"/>
  <c r="AB9" i="4" s="1"/>
  <c r="AS9" i="4" s="1"/>
  <c r="AU9" i="4" s="1"/>
  <c r="A9" i="4"/>
  <c r="AA8" i="4"/>
  <c r="T8" i="4"/>
  <c r="AB8" i="4" s="1"/>
  <c r="AS8" i="4" s="1"/>
  <c r="AU8" i="4" s="1"/>
  <c r="A8" i="4"/>
  <c r="AA7" i="4"/>
  <c r="T7" i="4"/>
  <c r="AB7" i="4" s="1"/>
  <c r="AS7" i="4" s="1"/>
  <c r="AU7" i="4" s="1"/>
  <c r="A7" i="4"/>
  <c r="AA6" i="4"/>
  <c r="T6" i="4"/>
  <c r="AB6" i="4" s="1"/>
  <c r="AS6" i="4" s="1"/>
  <c r="AU6" i="4" s="1"/>
  <c r="A6" i="4"/>
  <c r="AA5" i="4"/>
  <c r="T5" i="4"/>
  <c r="AB5" i="4" s="1"/>
  <c r="AS5" i="4" s="1"/>
  <c r="A5" i="4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G14" i="1"/>
  <c r="C14" i="1"/>
  <c r="G13" i="1"/>
  <c r="C13" i="1"/>
  <c r="G12" i="1"/>
  <c r="C12" i="1"/>
  <c r="G11" i="1"/>
  <c r="C11" i="1"/>
  <c r="G8" i="1"/>
  <c r="C8" i="1"/>
  <c r="C7" i="1"/>
  <c r="G6" i="1"/>
  <c r="C6" i="1"/>
  <c r="C5" i="1"/>
  <c r="G4" i="1"/>
  <c r="C4" i="1"/>
  <c r="AU5" i="4" l="1"/>
  <c r="G7" i="1" s="1"/>
  <c r="G5" i="1"/>
</calcChain>
</file>

<file path=xl/sharedStrings.xml><?xml version="1.0" encoding="utf-8"?>
<sst xmlns="http://schemas.openxmlformats.org/spreadsheetml/2006/main" count="1239" uniqueCount="508">
  <si>
    <t>SINHA'S GmbH — Revenue &amp; Occupancy Dashboard</t>
  </si>
  <si>
    <t>PORTFOLIO KPIs</t>
  </si>
  <si>
    <t>REVENUE KPIs (CHF)</t>
  </si>
  <si>
    <t>Total Properties Listed</t>
  </si>
  <si>
    <t>Total Monthly Rent (all bookings)</t>
  </si>
  <si>
    <t>Occupied Properties</t>
  </si>
  <si>
    <t>Total Invoiced</t>
  </si>
  <si>
    <t>Vacant Properties</t>
  </si>
  <si>
    <t>Total Collected</t>
  </si>
  <si>
    <t>Own Properties</t>
  </si>
  <si>
    <t>Total Balance Due</t>
  </si>
  <si>
    <t>Sublet Properties</t>
  </si>
  <si>
    <t>Total Deposits Held</t>
  </si>
  <si>
    <t>GUEST KPIs</t>
  </si>
  <si>
    <t>CLEANING &amp; ANCILLARY (CHF)</t>
  </si>
  <si>
    <t>Total Bookings</t>
  </si>
  <si>
    <t>Total Cleaning Due</t>
  </si>
  <si>
    <t>Unique Guests (Profiles)</t>
  </si>
  <si>
    <t>Total Cleaning Paid</t>
  </si>
  <si>
    <t>Business Stays</t>
  </si>
  <si>
    <t>Total City Tax</t>
  </si>
  <si>
    <t>Leisure Stays</t>
  </si>
  <si>
    <t>Total Commission</t>
  </si>
  <si>
    <t>DATABASE SCHEMA — KEY RELATIONSHIPS</t>
  </si>
  <si>
    <t>Primary Key (PK)</t>
  </si>
  <si>
    <t>GUEST ID</t>
  </si>
  <si>
    <t>Unique identifier for each guest in Guest Profiles sheet</t>
  </si>
  <si>
    <t>Foreign Key (FK-1)</t>
  </si>
  <si>
    <t>Links Revenue Tracker → Guest Profiles</t>
  </si>
  <si>
    <t>Foreign Key (FK-2)</t>
  </si>
  <si>
    <t>PROPERTY ID</t>
  </si>
  <si>
    <t>Links Revenue Tracker → Property Lookup</t>
  </si>
  <si>
    <t>Composite Key</t>
  </si>
  <si>
    <t>GUEST ID + PROPERTY ID</t>
  </si>
  <si>
    <t>Uniquely identifies each booking in Revenue Tracker</t>
  </si>
  <si>
    <t>Booking Ref</t>
  </si>
  <si>
    <t>SR-YYYY-NNNN</t>
  </si>
  <si>
    <t>Sequential booking reference tied to a Property ID</t>
  </si>
  <si>
    <t>Client Code</t>
  </si>
  <si>
    <t>SG-YYYY-NNNN</t>
  </si>
  <si>
    <t>SINHA'S internal client code per guest</t>
  </si>
  <si>
    <t>SINHA'S GmbH — Guest / Client Profile Database</t>
  </si>
  <si>
    <t>Primary Key: GUEST ID  |  Neugutstrasse 16, 8304 Wallisellen, Zürich  |  Confidential</t>
  </si>
  <si>
    <t>GUEST IDENTIFICATION  (PK: Guest ID)</t>
  </si>
  <si>
    <t>CONTACT DETAILS</t>
  </si>
  <si>
    <t>ADDRESS — SWITZERLAND</t>
  </si>
  <si>
    <t>ORIGIN — INDIA / HOME COUNTRY</t>
  </si>
  <si>
    <t>COMPANY / EMPLOYER</t>
  </si>
  <si>
    <t>INTERNAL / ADMIN</t>
  </si>
  <si>
    <t>S.No.</t>
  </si>
  <si>
    <t>Guest ID
(PK)</t>
  </si>
  <si>
    <t>SINHA'S
Client Code</t>
  </si>
  <si>
    <t>Title
(Mr/Mrs/Ms/Dr/Prof)</t>
  </si>
  <si>
    <t>First Name</t>
  </si>
  <si>
    <t>Last Name /
Family Name</t>
  </si>
  <si>
    <t>Full Name
(as per Passport/ID)</t>
  </si>
  <si>
    <t>Date of Birth
(DD.MM.YYYY)</t>
  </si>
  <si>
    <t>Email ID
(Primary)</t>
  </si>
  <si>
    <t>Email ID
(Secondary)</t>
  </si>
  <si>
    <t>Mobile Number
(with Country Code)</t>
  </si>
  <si>
    <t>WhatsApp Number
(with Country Code)</t>
  </si>
  <si>
    <t>Landline /
Office Phone</t>
  </si>
  <si>
    <t>Preferred
Language</t>
  </si>
  <si>
    <t>Preferred
Contact Method</t>
  </si>
  <si>
    <t>Street &amp;
House No. (CH)</t>
  </si>
  <si>
    <t>PLZ
(Postcode)</t>
  </si>
  <si>
    <t>City / Ort
(CH)</t>
  </si>
  <si>
    <t>Canton</t>
  </si>
  <si>
    <t>Country of
Residence</t>
  </si>
  <si>
    <t>Permit Type
(L/B/C/G/Other)</t>
  </si>
  <si>
    <t>Nationality /
Citizenship</t>
  </si>
  <si>
    <t>Passport /
ID Number</t>
  </si>
  <si>
    <t>Place of Origin
in India (City)</t>
  </si>
  <si>
    <t>State / Region
(India)</t>
  </si>
  <si>
    <t>Home Address
(India / Abroad)</t>
  </si>
  <si>
    <t>PIN Code /
Postal Code (Home)</t>
  </si>
  <si>
    <t>Company /
Employer Name</t>
  </si>
  <si>
    <t>Designation /
Job Title</t>
  </si>
  <si>
    <t>Company Address
(Switzerland)</t>
  </si>
  <si>
    <t>Booking Channel
/ Partner</t>
  </si>
  <si>
    <t>Travel Purpose
(Business/Leisure)</t>
  </si>
  <si>
    <t>Remarks /
Special Notes</t>
  </si>
  <si>
    <t>Date Added
(DD.MM.YYYY)</t>
  </si>
  <si>
    <t>SINHA'S GmbH — Property Master Lookup (FK Reference)</t>
  </si>
  <si>
    <t>Source: Property_Details_V4  |  Property ID is the Foreign Key linking Guest Profiles ↔ Revenue Tracker</t>
  </si>
  <si>
    <t>Property ID
(FK)</t>
  </si>
  <si>
    <t>Full Address</t>
  </si>
  <si>
    <t>City</t>
  </si>
  <si>
    <t>PLZ</t>
  </si>
  <si>
    <t>Rooms</t>
  </si>
  <si>
    <t>SQM</t>
  </si>
  <si>
    <t>Own/Sublet</t>
  </si>
  <si>
    <t>Status</t>
  </si>
  <si>
    <t>OTA/NON-OTA</t>
  </si>
  <si>
    <t>Property Type</t>
  </si>
  <si>
    <t>AF10-4L-1.5-APA-SUB-8050-ZH-ZH-CH</t>
  </si>
  <si>
    <t>Affolternstrasse 10, 8050 Zürich</t>
  </si>
  <si>
    <t>Zürich</t>
  </si>
  <si>
    <t>SUB</t>
  </si>
  <si>
    <t>VACANT</t>
  </si>
  <si>
    <t>AL26A-2L-1.5-APA-SUB-8304-WS-ZH-CH</t>
  </si>
  <si>
    <t>Alte Winterthurerstrasse 26A, 8304 Wallisellen</t>
  </si>
  <si>
    <t>Wallisellen</t>
  </si>
  <si>
    <t>OCCUPIED</t>
  </si>
  <si>
    <t>AL26A-4L-1.5-APA-SUB-8304-WS-ZH-CH</t>
  </si>
  <si>
    <t>AL2-3L-2.5-APA-SUB-8953-DK-ZH-CH</t>
  </si>
  <si>
    <t>Altbergstrasse 2, 8953 Dietikon</t>
  </si>
  <si>
    <t>Dietikon</t>
  </si>
  <si>
    <t>AL45-1L-3.5-APA-SUB-8134-AW-ZH-CH</t>
  </si>
  <si>
    <t>Albisstrasse 45, 8134 Adliswil</t>
  </si>
  <si>
    <t>Adliswil</t>
  </si>
  <si>
    <t>AL55-4L-2.5-APA-SUB-8134-AW-ZH-CH</t>
  </si>
  <si>
    <t>Albisstrasse 55, 8134 Adliswil</t>
  </si>
  <si>
    <t>AP21-3L-2.5-APA-SUB-8051-ZH-ZH-CH</t>
  </si>
  <si>
    <t>Aprikosenstrasse 21, 8051 Zürich</t>
  </si>
  <si>
    <t>AU2-1L-2.5-APA-OWN-8153-RL-ZH-CH</t>
  </si>
  <si>
    <t>Ausserdorfstrasse 2, 8153 Rümlang</t>
  </si>
  <si>
    <t>Rümlang</t>
  </si>
  <si>
    <t>OWN</t>
  </si>
  <si>
    <t>AU41-1L-3.5-APA-SUB-8045-ZH-ZH-CH</t>
  </si>
  <si>
    <t>Austrasse -S7 41, 8045 Zürich</t>
  </si>
  <si>
    <t>AU41-3L-3.5-APA-SUB-8045-ZH-ZH-CH</t>
  </si>
  <si>
    <t>Austrasse-S5 41, 8045 Zürich</t>
  </si>
  <si>
    <t>AU41-4L-3.5-APA-SUB-8045-ZH-ZH-CH</t>
  </si>
  <si>
    <t>Austrasse-S6 41, 8045 Zürich</t>
  </si>
  <si>
    <t>AU41-GL-3.5-APA-SUB-8045-ZH-ZH-CH</t>
  </si>
  <si>
    <t>Austrasse-S4 41, 8045 Zürich</t>
  </si>
  <si>
    <t>BA25-5L-4.5-APA-SUB-8154-OG-ZH-CH</t>
  </si>
  <si>
    <t>Bahnhofstrasse 25, 8154 Oberglatt</t>
  </si>
  <si>
    <t>Oberglatt</t>
  </si>
  <si>
    <t>BI35C-2L-3.5-APA-SUB-8600-DD-ZH-CH</t>
  </si>
  <si>
    <t>Birchlenstrasse 35 c, 8600 Dübendorf</t>
  </si>
  <si>
    <t>Dübendorf</t>
  </si>
  <si>
    <t>DE3-1L-3.5-APA-SUB-3073-GU-BE-CH</t>
  </si>
  <si>
    <t>Dennigkofenweg 3, 3073 Gümligen/ Bern</t>
  </si>
  <si>
    <t>Gümligen/ Bern</t>
  </si>
  <si>
    <t>SURRENDERED</t>
  </si>
  <si>
    <t>DE3-2L-3.5-APA-SUB-3073-GU-BE-CH</t>
  </si>
  <si>
    <t>DE3-GL-3.5-APA-SUB-3073-GU-BE-CH</t>
  </si>
  <si>
    <t>FR5A-2L-4.5-APA-SUB-8304-WS-ZH-CH</t>
  </si>
  <si>
    <t>Friedenstrasse 5a, 8304 Wallisellen</t>
  </si>
  <si>
    <t>GR11-3L-4.5-APA-SUB-8304-WS-ZH-CH</t>
  </si>
  <si>
    <t>Grabenstrasse 11, 8304 Wallisellen</t>
  </si>
  <si>
    <t>GR45A-1L-2.5-APA-SUB-4052-BS-BS-CH</t>
  </si>
  <si>
    <t>Grosspeterstrasse 45a, 4052 Basel</t>
  </si>
  <si>
    <t>Basel</t>
  </si>
  <si>
    <t>HI60-1L-3.5-APA-SUB-8051-ZH-ZH-CH</t>
  </si>
  <si>
    <t>Hirzenbachstrasse 60, 8051 Zürich</t>
  </si>
  <si>
    <t>HI86-GL-2.5-APA-SUB-8051-ZH-ZH-CH</t>
  </si>
  <si>
    <t>Hirzenbachstrasse 86, 8051 Zürich</t>
  </si>
  <si>
    <t>HO15-4L-3.5-APA-SUB-8045-ZH-ZH-CH</t>
  </si>
  <si>
    <t>Hopfenstrasse -S3 15, 8045 Zürich</t>
  </si>
  <si>
    <t>LE16-3L-3.5-APA-SUB-8600-DD-ZH-CH</t>
  </si>
  <si>
    <t>Leepüntstrasse 16, 8600 Dübendorf</t>
  </si>
  <si>
    <t>LE16-2L-1-APA-SUB-8600-DD-ZH-CH</t>
  </si>
  <si>
    <t>LE18-1L-2.5-APA-SUB-8600-DD-ZH-CH</t>
  </si>
  <si>
    <t>Leepüntstrasse 18, 8600 Dübendorf</t>
  </si>
  <si>
    <t>LE18-2L-2.5-APA-SUB-8600-DD-ZH-CH</t>
  </si>
  <si>
    <t>LE18-3L-2.5-APA-SUB-8600-DD-ZH-CH-A</t>
  </si>
  <si>
    <t>LE18-3L-2.5-APA-SUB-8600-DD-ZH-CH-B</t>
  </si>
  <si>
    <t>LE20-1L-2.5-APA-SUB-8600-DD-ZH-CH</t>
  </si>
  <si>
    <t>Leepüntstrasse 20, 8600 Dübendorf</t>
  </si>
  <si>
    <t>LE20-2L-2.5-APA-SUB-8600-DD-ZH-CH</t>
  </si>
  <si>
    <t>LI8-GL-1-APA-SUB-8304-WS-ZH-CH</t>
  </si>
  <si>
    <t>Lindenstrasse 8, 8304 Wallisellen</t>
  </si>
  <si>
    <t>ME14-3L-2.5-APA-SUB-8304-WS-ZH-CH</t>
  </si>
  <si>
    <t>Melchrütistrasse 14, 8304 Wallisellen</t>
  </si>
  <si>
    <t>NE75-2L-3.5-APA-SUB-8304-WS-ZH-CH</t>
  </si>
  <si>
    <t>Neue Winterthurerstrasse 75, 8304 Wallisellen</t>
  </si>
  <si>
    <t>RI143-1L-2.5-APA-SUB-4058-BS-BS-CH</t>
  </si>
  <si>
    <t>Riehenring 143, 4058 Basel</t>
  </si>
  <si>
    <t>RI143-5L-2.5-APA-SUB-4058-BS-BS-CH</t>
  </si>
  <si>
    <t>RI167-4L-3.5-APA-SUB-4058-BS-BS-CH</t>
  </si>
  <si>
    <t>Riehenstrasse 167, 4058 Basel</t>
  </si>
  <si>
    <t>RI16-2L-3.5-APA-SUB-6300-ZG-ZG-CH</t>
  </si>
  <si>
    <t>Riedmatweg  16, 6300 Zug</t>
  </si>
  <si>
    <t>Zug</t>
  </si>
  <si>
    <t>SC1A-2L-2.5-APA-SUB-8304-WS-ZH-CH</t>
  </si>
  <si>
    <t>Schutzenstrasse 1a, 8304 Wallisellen</t>
  </si>
  <si>
    <t>SE64-2L-2.5-APA-OWN-8052-ZH-ZH-CH</t>
  </si>
  <si>
    <t>Seebacherstrasse 64, 8052 Zürich</t>
  </si>
  <si>
    <t>SE66-3L-4.5-APA-OWN-8052-ZH-ZH-CH</t>
  </si>
  <si>
    <t>Seebacherstrasse 66, 8052 Zürich</t>
  </si>
  <si>
    <t>ST16-BL-1.5-APA-OWN-8903-BD-ZH-CH</t>
  </si>
  <si>
    <t>Stöckenstrasse  16, 8903 Birmensdorf</t>
  </si>
  <si>
    <t>Birmensdorf</t>
  </si>
  <si>
    <t>ST16-GL-1.5-APA-OWN-8903-BD-ZH-CH</t>
  </si>
  <si>
    <t>Stöckenstrasse -S3 16, 8903 Birmensdorf</t>
  </si>
  <si>
    <t>ST35-GL-1-APA-SUB-8003-ZH-ZH-CH</t>
  </si>
  <si>
    <t>Steinstrasse (S-2) 35, 8003 Zürich</t>
  </si>
  <si>
    <t>ST36-3L-1.5-APA-SUB-4051-BS-BS-CH-A</t>
  </si>
  <si>
    <t>Steinenvorstadt 36, 4051 Basel</t>
  </si>
  <si>
    <t>ST36-3L-1.5-APA-SUB-4051-BS-BS-CH-B</t>
  </si>
  <si>
    <t>ST3-GL-1.5-APA-SUB-8903-BD-ZH-CH</t>
  </si>
  <si>
    <t>Stöckenstrasse 3, 8903 Birmensdorf</t>
  </si>
  <si>
    <t>ST40A-GL-2-APA-OWN-8903-BD-ZH-CH</t>
  </si>
  <si>
    <t>Stöckenstrasse 40a, 8903 Birmensdorf</t>
  </si>
  <si>
    <t>ST71-2L-2.5-APA-SUB-4051-BS-BS-CH</t>
  </si>
  <si>
    <t>Steinenvorstadt 71, 4051 Basel</t>
  </si>
  <si>
    <t>TA47-1L-4.5-APA-OWN-8152-GB-ZH-CH</t>
  </si>
  <si>
    <t>Talackerstrasse 47, 8152 Glattbrugg</t>
  </si>
  <si>
    <t>Glattbrugg</t>
  </si>
  <si>
    <t>TR24-1L-2.5-APA-SUB-8050-ZH-ZH-CH</t>
  </si>
  <si>
    <t>Tramstrasse 24, 8050 Zürich</t>
  </si>
  <si>
    <t>WA156-14L-3.5-APA-OWN-8152-GB-ZH-CH</t>
  </si>
  <si>
    <t>Wallisellerstrasse 156, 8152 Glattbrugg</t>
  </si>
  <si>
    <t>WA156-9L-2.5-APA-SUB-8152-GB-ZH-CH</t>
  </si>
  <si>
    <t>WI651-1L-2.5-APA-SUB-8051-ZH-ZH-CH</t>
  </si>
  <si>
    <t>Winterthurerstrasse 651, 8051 Zürich</t>
  </si>
  <si>
    <t>WI9-GL-2.5-APA-SUB-8304-WS-ZH-CH</t>
  </si>
  <si>
    <t>Wiesgasse 9, 8304 Wallisellen</t>
  </si>
  <si>
    <t>ST35-GLL-1-APA-SUB-8003-ZH-ZH-CH</t>
  </si>
  <si>
    <t>Steinstrasse  35, 8003 Zürich</t>
  </si>
  <si>
    <t>AR2-2M-4.5-APA-SUB-8304-WS-ZH-CH</t>
  </si>
  <si>
    <t>Archengässli 2, 8304 Wallisellen</t>
  </si>
  <si>
    <t>BA27-2M-4.5-APA-SUB-8800-TH-ZH-CH</t>
  </si>
  <si>
    <t>Bahnhofstrasse 27, 8800 Thalwil</t>
  </si>
  <si>
    <t>Thalwil</t>
  </si>
  <si>
    <t>ED7-BM-3.5-APA-OWN-7270-DP-GR-CH</t>
  </si>
  <si>
    <t>Edenstrasse 7, 7270 Davos Platz</t>
  </si>
  <si>
    <t>Davos Platz</t>
  </si>
  <si>
    <t>HO65A-2M-2.5-APA-SUB-8135-LA-BS-CH</t>
  </si>
  <si>
    <t>Höflistrasse 65a, 8135 Langnau am Albis</t>
  </si>
  <si>
    <t>Langnau am Albis</t>
  </si>
  <si>
    <t>LE16-1M-3.5-APA-SUB-8600-DD-ZH-CH</t>
  </si>
  <si>
    <t>LE18-2M-3.5-APA-SUB-8600-DD-ZH-CH</t>
  </si>
  <si>
    <t>LE20-2M-3.5-APA-SUB-8600-DD-ZH-CH</t>
  </si>
  <si>
    <t>TR24-GM-1.5-APA-SUB-8050-ZH-ZH-CH</t>
  </si>
  <si>
    <t>UB11-1M-1-APA-SUB-8953-DK-ZH-CH</t>
  </si>
  <si>
    <t>Überlandstrasse 11, 8953 Dietikon</t>
  </si>
  <si>
    <t>UB465-2M-2.5-APA-SUB-8051-ZH-ZH-CH</t>
  </si>
  <si>
    <t>Überlandstrasse 465, 8051 Zürich</t>
  </si>
  <si>
    <t>UB465-7M-1.5-APA-SUB-8051-ZH-ZH-CH</t>
  </si>
  <si>
    <t>WI55-GM-1.5-APA-OWN-8135-LA-ZH-CH</t>
  </si>
  <si>
    <t>Wildenbühlstrasse 55, 8135 Langnau am Albis</t>
  </si>
  <si>
    <t>WI9-GM-2.5-APA-SUB-8304-WS-ZH-CH</t>
  </si>
  <si>
    <t>NE37-2ML-3.5-APA-SUB-8304-WS-ZH-CH</t>
  </si>
  <si>
    <t>Neugutstrasse 37, 8304 Wallisellen</t>
  </si>
  <si>
    <t>RO130-1ML-1-APA-SUB-8051-ZH-ZH-CH</t>
  </si>
  <si>
    <t>Roswiesenstrasse 130, 8051 Zürich</t>
  </si>
  <si>
    <t>AL2-1MR-1.5-APA-SUB-8953-DK-ZH-CH</t>
  </si>
  <si>
    <t>AL45-GMR-3.5-APA-SUB-8134-AW-ZH-CH</t>
  </si>
  <si>
    <t>NE37-1MR-3.5-APA-OWN-8304-WS-ZH-CH</t>
  </si>
  <si>
    <t>AL18-1R-3.5-APA-SUB-8304-WS-ZH-CH</t>
  </si>
  <si>
    <t>Allmendstrasse 18, 8304 Wallisellen</t>
  </si>
  <si>
    <t>AL26-2R-4.5-APA-SUB-8304-WS-ZH-CH</t>
  </si>
  <si>
    <t>Alte Winterthurerstrasse 26, 8304 Wallisellen</t>
  </si>
  <si>
    <t>AL2-3R-2.5-APA-SUB-8953-DK-ZH-CH</t>
  </si>
  <si>
    <t>AU41-1R-3.5-APA-SUB-8045-ZH-ZH-CH</t>
  </si>
  <si>
    <t>Austrasse-S2 41, 8045 Zürich</t>
  </si>
  <si>
    <t>AU41-2R-3.5-APA-SUB-8045-ZH-ZH-CH</t>
  </si>
  <si>
    <t>Austrasse -S9 41, 8045 Zürich</t>
  </si>
  <si>
    <t>AU41-3R-3.5-APA-SUB-8045-ZH-ZH-CH</t>
  </si>
  <si>
    <t>Austrasse-S8 41, 8045 Zürich</t>
  </si>
  <si>
    <t>AU41-4R-3.5-APA-SUB-8045-ZH-ZH-CH</t>
  </si>
  <si>
    <t>Austrasse-S3 41, 8045 Zürich</t>
  </si>
  <si>
    <t>AU41-GR-3.5-APA-SUB-8045-ZH-ZH-CH</t>
  </si>
  <si>
    <t>Austrasse-S1 41, 8045 Zürich</t>
  </si>
  <si>
    <t>BI37A-2R-3.5-APA-SUB-8600-DD-ZH-CH</t>
  </si>
  <si>
    <t>Birchlenstrasse 37 a, 8600 Dübendorf</t>
  </si>
  <si>
    <t>BI37B-GR-4.5-APA-SUB-8600-DD-ZH-CH</t>
  </si>
  <si>
    <t>Birchlenstrasse 37 b, 8600 Dübendorf</t>
  </si>
  <si>
    <t>DO24-1R-5.5-APA-OWN-8906-BO-ZH-CH</t>
  </si>
  <si>
    <t>Dorfstrasse 24, 8906 Bonstatten</t>
  </si>
  <si>
    <t>Bonstatten</t>
  </si>
  <si>
    <t>EG19-GR-2.5-APA-OWN-4054-BS-BS-CH</t>
  </si>
  <si>
    <t>Eggfluhstrasse 19, 4054 Basel</t>
  </si>
  <si>
    <t>EG19-GR-1.5-APA-OWN-4054-BS-BS-CH</t>
  </si>
  <si>
    <t>FO7-GR-3.5-APA-SUB-8304-WS-ZH-CH</t>
  </si>
  <si>
    <t>Föhrlibuckstrasse 7, 8304 Wallisellen</t>
  </si>
  <si>
    <t>HO15-2R-3.5-APA-SUB-8045-ZH-ZH-CH</t>
  </si>
  <si>
    <t>Hopfenstrasse -S1 15, 8045 Zürich</t>
  </si>
  <si>
    <t>HO15-3R-3.5-APA-SUB-8045-ZH-ZH-CH</t>
  </si>
  <si>
    <t>Hopfenstrasse -S2 15, 8045 Zürich</t>
  </si>
  <si>
    <t>HO65A-3R-3.5-APA-SUB-8135-LA-ZH-CH</t>
  </si>
  <si>
    <t>KI4-GR-2-APA-SUB-8600-DD-ZH-CH</t>
  </si>
  <si>
    <t>Kirchbachstrasse 4, 8600 Dübendorf</t>
  </si>
  <si>
    <t>LA5-2R-3.5-APA-OWN-8152-GB-ZH-CH</t>
  </si>
  <si>
    <t>Lattenwiessenstrasse 5, 8152 Glattbrugg</t>
  </si>
  <si>
    <t>LE16-1R-2.5-APA-SUB-8600-DD-ZH-CH</t>
  </si>
  <si>
    <t>LE16-2R-2.5-APA-SUB-8600-DD-ZH-CH</t>
  </si>
  <si>
    <t>LE16-3R-2.5-APA-SUB-8600-DD-ZH-CH</t>
  </si>
  <si>
    <t>LE18-1R-1.5-APA-SUB-8600-DD-ZH-CH</t>
  </si>
  <si>
    <t>LE18-GR-1.5-APA-SUB-8600-DD-ZH-CH</t>
  </si>
  <si>
    <t>LE20-3R-3.5-APA-SUB-8600-DD-ZH-CH</t>
  </si>
  <si>
    <t>LE20-1R-1.5-APA-SUB-8600-DD-ZH-CH</t>
  </si>
  <si>
    <t>LE20-GR-1.5-APA-SUB-8600-DD-ZH-CH</t>
  </si>
  <si>
    <t>LI8-2R-3.5-APA-SUB-8304-WS-ZH-CH</t>
  </si>
  <si>
    <t>ME10-3R-2.5-APA-SUB-8304-WS-ZH-CH</t>
  </si>
  <si>
    <t>Melchrütistrasse 10, 8304 Wallisellen</t>
  </si>
  <si>
    <t>ME8-3R-2.5-APA-SUB-8304-WS-ZH-CH</t>
  </si>
  <si>
    <t>Melchrütistrasse 8, 8304 Wallisellen</t>
  </si>
  <si>
    <t>NE12-5R-2.5-APA-SUB-8304-WS-ZH-CH</t>
  </si>
  <si>
    <t>Neugutstrasse 12, 8304 Wallisellen</t>
  </si>
  <si>
    <t>RI143-3R-2.5-APA-SUB-4058-BS-BS-CH</t>
  </si>
  <si>
    <t>RI163-4R-2.5-APA-SUB-4058-BS-BS-CH</t>
  </si>
  <si>
    <t>Riehenstrasse 163, 4058 Basel</t>
  </si>
  <si>
    <t>RI163-5R-2.5-APA-SUB-4058-BS-BS-CH</t>
  </si>
  <si>
    <t>RI167-4R-3.5-APA-SUB-4058-BS-BS-CH</t>
  </si>
  <si>
    <t>RI16-3R-2.5-APA-SUB-6300-ZG-ZG-CH</t>
  </si>
  <si>
    <t>Riedmatweg 16, 6300 Zug</t>
  </si>
  <si>
    <t>RO33-3R-4.5-APA-SUB-8152-GB-ZH-CH</t>
  </si>
  <si>
    <t>Rohrstrasse 33, 8152 Glattbrugg</t>
  </si>
  <si>
    <t>SC1A-2R-4.5-APA-SUB-8304-WS-ZH-CH</t>
  </si>
  <si>
    <t>PARTIALLY OCCUPIED</t>
  </si>
  <si>
    <t>SC2-1R-2.5-APA-SUB-8304-WS-ZH-CH</t>
  </si>
  <si>
    <t>Schulerweg 2, 8304 Wallisellen</t>
  </si>
  <si>
    <t>SC91-1R-4.5-APA-SUB-8152-GB-ZH-CH</t>
  </si>
  <si>
    <t>Schaffhauserstrasse 91, 8152 Glattbrugg</t>
  </si>
  <si>
    <t>SE64-1R-2.5-APA-OWN-8052-ZH-ZH-CH</t>
  </si>
  <si>
    <t>ST12-1R-2.5-APA-SUB-8304-WS-ZH-CH</t>
  </si>
  <si>
    <t>Steinackerweg 12, 8304 Wallisellen</t>
  </si>
  <si>
    <t>ST12-2R-2.5-APA-SUB-8304-WS-ZH-CH</t>
  </si>
  <si>
    <t>ST12-GR-3.5-APA-SUB-8304-WS-ZH-CH</t>
  </si>
  <si>
    <t>ST16-BR-1.5-APA-OWN-8903-BD-ZH-CH</t>
  </si>
  <si>
    <t>TA47-1R-3.5-APA-OWN-8152-GB-ZH-CH</t>
  </si>
  <si>
    <t>TA47-2R-3.5-APA-SUB-8152-GB-ZH-CH</t>
  </si>
  <si>
    <t>TA49-1R-3.5-APA-SUB-8152-GB-ZH-CH</t>
  </si>
  <si>
    <t>Talackerstrasse 49, 8152 Glattbrugg</t>
  </si>
  <si>
    <t>TA49-2R-3.5-APA-SUB-8152-GB-ZH-CH</t>
  </si>
  <si>
    <t>TA49-GR-3.5-APA-SUB-8152-GB-ZH-CH</t>
  </si>
  <si>
    <t>WI645-2R-3.5-APA-SUB-8051-ZH-ZH-CH</t>
  </si>
  <si>
    <t>Winterthurerstrasse 645, 8051 Zürich</t>
  </si>
  <si>
    <t>WI9-1R-2.5-APA-SUB-8304-WS-ZH-CH</t>
  </si>
  <si>
    <t>WI9-2R-2.5-APA-SUB-8304-WS-ZH-CH</t>
  </si>
  <si>
    <t>ME14-2RL-2.5-APA-SUB-8304-WS-ZH-CH</t>
  </si>
  <si>
    <t>ST35-GRL-1-APA-SUB-8003-ZH-ZH-CH</t>
  </si>
  <si>
    <t>Steinstrasse (S-3) 35, 8003 Zürich</t>
  </si>
  <si>
    <t>ST35-GRR-1-APA-SUB-8003-ZH-ZH-CH</t>
  </si>
  <si>
    <t>AU435A-G-6.5-CHA-OWN-3822-LB-BE-CH</t>
  </si>
  <si>
    <t>Auf der Fuhren 435a, 3822 Lauterbrunnen</t>
  </si>
  <si>
    <t>Lauterbrunnen</t>
  </si>
  <si>
    <t>AU41-5-3.5-APA-SUB-8045-ZH-ZH-CH</t>
  </si>
  <si>
    <t>Austrasse 41, 8045 Zürich</t>
  </si>
  <si>
    <t>BA16-2-5.5-APA-SUB-8304-WS-ZH-CH</t>
  </si>
  <si>
    <t>Bachtelstrasse 16, 8304 Wallisellen</t>
  </si>
  <si>
    <t>HO65A-1-2.5-APA-SUB-8135-LA-ZH-CH</t>
  </si>
  <si>
    <t>JA4-2-4.5-APA-OWN-8424-EM-ZH-CH</t>
  </si>
  <si>
    <t>Jakob Bosshart Strasse 4, 8424 Embrach</t>
  </si>
  <si>
    <t>Embrach</t>
  </si>
  <si>
    <t>KL5-G-5.5-APA-SUB-8304-WS-ZH-CH</t>
  </si>
  <si>
    <t>Klotenerstrasse 5, 8304 Wallisellen</t>
  </si>
  <si>
    <t>MA32-1-2.5-APA-SUB-6004-LU-LU-CH</t>
  </si>
  <si>
    <t>Maihoffstrasse - 12  32, 6004 Luzern</t>
  </si>
  <si>
    <t>Luzern</t>
  </si>
  <si>
    <t>MA32-3-2.5-APA-SUB-6004-LU-LU-CH</t>
  </si>
  <si>
    <t>Maihoffstrasse - 36 32, 6004 Luzern</t>
  </si>
  <si>
    <t>MA32-4-2.5-APA-SUB-6004-LU-LU-CH</t>
  </si>
  <si>
    <t>Maihoffstrasse - 44 32, 6004 Luzern</t>
  </si>
  <si>
    <t>ME10-1-5.5-APA-OWN-8304-WS-ZH-CH</t>
  </si>
  <si>
    <t>ME8-4-3.5-APA-OWN-8304-WS-ZH-CH</t>
  </si>
  <si>
    <t>MU3-1-4.5-APA-SUB-8135-LA-ZH-CH</t>
  </si>
  <si>
    <t>Mühleweg 3, 8135 Langnau am Albis</t>
  </si>
  <si>
    <t>CH176-2-X-OFF-SUB-6300-ZG-ZG-CH</t>
  </si>
  <si>
    <t>Chamerstrasse 176, 6300 Zug</t>
  </si>
  <si>
    <t>SC20-2-3.5-APA-SUB-4058-BS-BS-CH</t>
  </si>
  <si>
    <t>Schönaustrasse 20, 4058 Basel</t>
  </si>
  <si>
    <t>SINHA'S GmbH — Revenue Tracker</t>
  </si>
  <si>
    <t>Composite Key: GUEST ID (FK → Guest Profiles) + PROPERTY ID (FK → Property Lookup)  |  All amounts in CHF</t>
  </si>
  <si>
    <t>KEYS  (Guest ID + Property ID)</t>
  </si>
  <si>
    <t>GUEST SUMMARY</t>
  </si>
  <si>
    <t>PROPERTY SUMMARY</t>
  </si>
  <si>
    <t>STAY DETAILS</t>
  </si>
  <si>
    <t>REVENUE &amp; FINANCIALS (CHF)</t>
  </si>
  <si>
    <t>STATUS &amp; NOTES</t>
  </si>
  <si>
    <t>Booking
Ref No.</t>
  </si>
  <si>
    <t>Guest ID
(FK → Guest
Profiles)</t>
  </si>
  <si>
    <t>Property ID
(FK → Property
Lookup)</t>
  </si>
  <si>
    <t>Guest
Full Name</t>
  </si>
  <si>
    <t>Nationality</t>
  </si>
  <si>
    <t>Company /
Employer</t>
  </si>
  <si>
    <t>Mobile</t>
  </si>
  <si>
    <t>Email</t>
  </si>
  <si>
    <t>Property
Address</t>
  </si>
  <si>
    <t>Own /
Sublet</t>
  </si>
  <si>
    <t>Property
Type</t>
  </si>
  <si>
    <t>Booking
Channel</t>
  </si>
  <si>
    <t>Check-in
Date</t>
  </si>
  <si>
    <t>Check-out
Date</t>
  </si>
  <si>
    <t>Guest
Nights</t>
  </si>
  <si>
    <t>No. of
Guests</t>
  </si>
  <si>
    <t>Children
(under 16)</t>
  </si>
  <si>
    <t>Stay Type
(Short/Long)</t>
  </si>
  <si>
    <t>Purpose
(Business/
Leisure)</t>
  </si>
  <si>
    <t>Currency</t>
  </si>
  <si>
    <t>Monthly
Rent (CHF)</t>
  </si>
  <si>
    <t>Pro-Rate
Daily Rate
(CHF)</t>
  </si>
  <si>
    <t>Total Rent
(CHF)</t>
  </si>
  <si>
    <t>Deposit
(CHF)</t>
  </si>
  <si>
    <t>Deposit
Paid Date</t>
  </si>
  <si>
    <t>Deposit
Returned
(CHF)</t>
  </si>
  <si>
    <t>Deposit
Return Date</t>
  </si>
  <si>
    <t>Deposit Refund
Source
(Own/Sublet Bank)</t>
  </si>
  <si>
    <t>SINHA'S Internal
Deposit
Adjustments</t>
  </si>
  <si>
    <t>Guest IBAN /
Account Nr
(for Refund)</t>
  </si>
  <si>
    <t>Notice Period
Rent / Deposit
Adjustments</t>
  </si>
  <si>
    <t>Cleaning
Due (CHF)</t>
  </si>
  <si>
    <t>Cleaning
Paid (CHF)</t>
  </si>
  <si>
    <t>City Tax
(CHF)</t>
  </si>
  <si>
    <t>Commission
(CHF)</t>
  </si>
  <si>
    <t>Total Invoice
(CHF)</t>
  </si>
  <si>
    <t>Total Paid
(CHF)</t>
  </si>
  <si>
    <t>Balance
Due (CHF)</t>
  </si>
  <si>
    <t>Payment
Method</t>
  </si>
  <si>
    <t>Payment
Status</t>
  </si>
  <si>
    <t>Booking
Status</t>
  </si>
  <si>
    <t>Remarks</t>
  </si>
  <si>
    <t>Last
Updated</t>
  </si>
  <si>
    <t>CHF</t>
  </si>
  <si>
    <t>SINHA'S GmbH — Database Schema — Field Definitions &amp; Key Relationships</t>
  </si>
  <si>
    <t>Sheet</t>
  </si>
  <si>
    <t>Field Name</t>
  </si>
  <si>
    <t>Column</t>
  </si>
  <si>
    <t>Key Type</t>
  </si>
  <si>
    <t>Data Type</t>
  </si>
  <si>
    <t>Description</t>
  </si>
  <si>
    <t>Example / Format</t>
  </si>
  <si>
    <t>Guest Profiles</t>
  </si>
  <si>
    <t>Guest ID</t>
  </si>
  <si>
    <t>B</t>
  </si>
  <si>
    <t>PK</t>
  </si>
  <si>
    <t>Text</t>
  </si>
  <si>
    <t>System-generated unique guest identifier</t>
  </si>
  <si>
    <t>23696522</t>
  </si>
  <si>
    <t>SINHA'S Client Code</t>
  </si>
  <si>
    <t>C</t>
  </si>
  <si>
    <t>—</t>
  </si>
  <si>
    <t>Internal client code: SG-YYYY-NNNN</t>
  </si>
  <si>
    <t>SG-2026-0001</t>
  </si>
  <si>
    <t>Full Name</t>
  </si>
  <si>
    <t>G</t>
  </si>
  <si>
    <t>Legal name as per Passport/ID</t>
  </si>
  <si>
    <t>Mr. Rajeev Sinha</t>
  </si>
  <si>
    <t>Email (Primary)</t>
  </si>
  <si>
    <t>I</t>
  </si>
  <si>
    <t>Primary email for correspondence</t>
  </si>
  <si>
    <t>guest@company.com</t>
  </si>
  <si>
    <t>Mobile Number</t>
  </si>
  <si>
    <t>K</t>
  </si>
  <si>
    <t>Mobile with international code</t>
  </si>
  <si>
    <t>+91 98765 43210</t>
  </si>
  <si>
    <t>WhatsApp Number</t>
  </si>
  <si>
    <t>L</t>
  </si>
  <si>
    <t>WhatsApp-registered number</t>
  </si>
  <si>
    <t>+41 79 123 45 67</t>
  </si>
  <si>
    <t>Place of Origin (India)</t>
  </si>
  <si>
    <t>X</t>
  </si>
  <si>
    <t>Home city in India</t>
  </si>
  <si>
    <t>Bengaluru</t>
  </si>
  <si>
    <t>Company / Employer</t>
  </si>
  <si>
    <t>AB</t>
  </si>
  <si>
    <t>Corporate client name</t>
  </si>
  <si>
    <t>Tech Mahindra Limited</t>
  </si>
  <si>
    <t>Property Lookup</t>
  </si>
  <si>
    <t>Property ID</t>
  </si>
  <si>
    <t>PK/FK</t>
  </si>
  <si>
    <t>Smart Property ID from Property Master</t>
  </si>
  <si>
    <t>Complete property address</t>
  </si>
  <si>
    <t>H</t>
  </si>
  <si>
    <t>Ownership status</t>
  </si>
  <si>
    <t>OWN / SUB</t>
  </si>
  <si>
    <t>Occupancy status</t>
  </si>
  <si>
    <t>OCCUPIED / VACANT</t>
  </si>
  <si>
    <t>Revenue Tracker</t>
  </si>
  <si>
    <t>Booking Ref No.</t>
  </si>
  <si>
    <t>Sequential booking reference</t>
  </si>
  <si>
    <t>SR-2026-0001</t>
  </si>
  <si>
    <t>FK→Guest</t>
  </si>
  <si>
    <t>Links to Guest Profiles.Guest ID (PK)</t>
  </si>
  <si>
    <t>D</t>
  </si>
  <si>
    <t>FK→Property</t>
  </si>
  <si>
    <t>Links to Property Lookup.Property ID</t>
  </si>
  <si>
    <t>Monthly Rent (CHF)</t>
  </si>
  <si>
    <t>Y</t>
  </si>
  <si>
    <t>Number</t>
  </si>
  <si>
    <t>Agreed monthly rent</t>
  </si>
  <si>
    <t>2,445.00</t>
  </si>
  <si>
    <t>Pro-Rate Daily Rate</t>
  </si>
  <si>
    <t>Z</t>
  </si>
  <si>
    <t>Formula</t>
  </si>
  <si>
    <t>Calculated as Monthly Rent divided by 30</t>
  </si>
  <si>
    <t>81.50</t>
  </si>
  <si>
    <t>Total Rent (CHF)</t>
  </si>
  <si>
    <t>AA</t>
  </si>
  <si>
    <t>Calculated as Daily Rate multiplied by Guest Nights</t>
  </si>
  <si>
    <t>5,338.50</t>
  </si>
  <si>
    <t>Deposit (CHF)</t>
  </si>
  <si>
    <t>Security deposit amount</t>
  </si>
  <si>
    <t>Cleaning Due (CHF)</t>
  </si>
  <si>
    <t>AJ</t>
  </si>
  <si>
    <t>Cleaning fee due</t>
  </si>
  <si>
    <t>700.00</t>
  </si>
  <si>
    <t>Total Invoice (CHF)</t>
  </si>
  <si>
    <t>AN</t>
  </si>
  <si>
    <t>Sum of Total Rent + Cleaning + Tax + Commission</t>
  </si>
  <si>
    <t>6,038.50</t>
  </si>
  <si>
    <t>Balance Due (CHF)</t>
  </si>
  <si>
    <t>AP</t>
  </si>
  <si>
    <t>Total Invoice minus Total Paid</t>
  </si>
  <si>
    <t>0.00</t>
  </si>
  <si>
    <t>Guest Type (Corp/ Family/ Student/ Intern)</t>
  </si>
  <si>
    <t>Guest Type
(VIP/ Non-VIP)</t>
  </si>
  <si>
    <t>Tier (Diamond/ Gold/ Standard/ Risk)</t>
  </si>
  <si>
    <t>Pet Fee</t>
  </si>
  <si>
    <t>Additional Cleaning( if applicable)</t>
  </si>
  <si>
    <t>Reimbursement</t>
  </si>
  <si>
    <t>Net Deposit</t>
  </si>
  <si>
    <t>Move Within SINHA'S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</si>
</sst>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1" x14ac:knownFonts="1">
    <font>
      <sz val="11"/>
      <color theme="1"/>
      <name val="Calibri"/>
      <family val="2"/>
      <charset val="1"/>
    </font>
    <font>
      <b/>
      <sz val="14"/>
      <color rgb="FFC22228"/>
      <name val="Arial"/>
      <family val="2"/>
    </font>
    <font>
      <b/>
      <sz val="11"/>
      <color rgb="FFFFFFFF"/>
      <name val="Arial"/>
      <family val="2"/>
    </font>
    <font>
      <b/>
      <sz val="10"/>
      <color rgb="FF8B0000"/>
      <name val="Arial"/>
      <family val="2"/>
    </font>
    <font>
      <b/>
      <sz val="14"/>
      <color rgb="FF0E6655"/>
      <name val="Arial"/>
      <family val="2"/>
    </font>
    <font>
      <b/>
      <sz val="10"/>
      <color rgb="FFC22228"/>
      <name val="Arial"/>
      <family val="2"/>
    </font>
    <font>
      <b/>
      <sz val="10"/>
      <color rgb="FF117A65"/>
      <name val="Arial"/>
      <family val="2"/>
    </font>
    <font>
      <sz val="10"/>
      <color rgb="FF000000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22228"/>
        <bgColor rgb="FFBA4A00"/>
      </patternFill>
    </fill>
    <fill>
      <patternFill patternType="solid">
        <fgColor rgb="FF0E6655"/>
        <bgColor rgb="FF117A65"/>
      </patternFill>
    </fill>
    <fill>
      <patternFill patternType="solid">
        <fgColor rgb="FFFFF8E7"/>
        <bgColor rgb="FFF2F2F2"/>
      </patternFill>
    </fill>
    <fill>
      <patternFill patternType="solid">
        <fgColor rgb="FFE8F8F5"/>
        <bgColor rgb="FFF2F2F2"/>
      </patternFill>
    </fill>
    <fill>
      <patternFill patternType="solid">
        <fgColor rgb="FFBA4A00"/>
        <bgColor rgb="FFE74C3C"/>
      </patternFill>
    </fill>
    <fill>
      <patternFill patternType="solid">
        <fgColor rgb="FF8B0000"/>
        <bgColor rgb="FF800000"/>
      </patternFill>
    </fill>
    <fill>
      <patternFill patternType="solid">
        <fgColor rgb="FF1B4F72"/>
        <bgColor rgb="FF0E6655"/>
      </patternFill>
    </fill>
    <fill>
      <patternFill patternType="solid">
        <fgColor rgb="FF117A65"/>
        <bgColor rgb="FF0E6655"/>
      </patternFill>
    </fill>
    <fill>
      <patternFill patternType="solid">
        <fgColor rgb="FF6C3483"/>
        <bgColor rgb="FF333399"/>
      </patternFill>
    </fill>
    <fill>
      <patternFill patternType="solid">
        <fgColor rgb="FFC8960C"/>
        <bgColor rgb="FF808000"/>
      </patternFill>
    </fill>
    <fill>
      <patternFill patternType="solid">
        <fgColor rgb="FFFFFFFF"/>
        <bgColor rgb="FFFFF8E7"/>
      </patternFill>
    </fill>
    <fill>
      <patternFill patternType="solid">
        <fgColor rgb="FFF2F2F2"/>
        <bgColor rgb="FFE8F8F5"/>
      </patternFill>
    </fill>
    <fill>
      <patternFill patternType="solid">
        <fgColor rgb="FFE74C3C"/>
        <bgColor rgb="FFBA4A0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9" fillId="6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0" fontId="3" fillId="0" borderId="1" xfId="0" applyFont="1" applyBorder="1"/>
    <xf numFmtId="0" fontId="1" fillId="4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  <xf numFmtId="0" fontId="5" fillId="0" borderId="1" xfId="0" applyFont="1" applyBorder="1"/>
    <xf numFmtId="0" fontId="10" fillId="2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164" fontId="7" fillId="12" borderId="1" xfId="0" applyNumberFormat="1" applyFont="1" applyFill="1" applyBorder="1" applyAlignment="1">
      <alignment horizontal="left" vertical="center" wrapText="1"/>
    </xf>
    <xf numFmtId="1" fontId="7" fillId="12" borderId="1" xfId="0" applyNumberFormat="1" applyFont="1" applyFill="1" applyBorder="1" applyAlignment="1">
      <alignment horizontal="left" vertical="center" wrapText="1"/>
    </xf>
    <xf numFmtId="4" fontId="7" fillId="12" borderId="1" xfId="0" applyNumberFormat="1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164" fontId="7" fillId="13" borderId="1" xfId="0" applyNumberFormat="1" applyFont="1" applyFill="1" applyBorder="1" applyAlignment="1">
      <alignment horizontal="left" vertical="center" wrapText="1"/>
    </xf>
    <xf numFmtId="1" fontId="7" fillId="13" borderId="1" xfId="0" applyNumberFormat="1" applyFont="1" applyFill="1" applyBorder="1" applyAlignment="1">
      <alignment horizontal="left" vertical="center" wrapText="1"/>
    </xf>
    <xf numFmtId="4" fontId="7" fillId="13" borderId="1" xfId="0" applyNumberFormat="1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7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117A65"/>
      <rgbColor rgb="FFCCCCCC"/>
      <rgbColor rgb="FF808080"/>
      <rgbColor rgb="FF9999FF"/>
      <rgbColor rgb="FF6C3483"/>
      <rgbColor rgb="FFFFF8E7"/>
      <rgbColor rgb="FFE8F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E6655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60C"/>
      <rgbColor rgb="FFE74C3C"/>
      <rgbColor rgb="FF666666"/>
      <rgbColor rgb="FF969696"/>
      <rgbColor rgb="FF1B4F72"/>
      <rgbColor rgb="FF339966"/>
      <rgbColor rgb="FF003300"/>
      <rgbColor rgb="FF333300"/>
      <rgbColor rgb="FFBA4A00"/>
      <rgbColor rgb="FFC22228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6655"/>
  </sheetPr>
  <dimension ref="A1:H23"/>
  <sheetViews>
    <sheetView zoomScaleNormal="100" workbookViewId="0">
      <selection sqref="A1:H1"/>
    </sheetView>
  </sheetViews>
  <sheetFormatPr defaultColWidth="8.6328125" defaultRowHeight="14.5" x14ac:dyDescent="0.35"/>
  <cols>
    <col min="1" max="1" width="4" customWidth="1"/>
    <col min="2" max="2" width="32" customWidth="1"/>
    <col min="3" max="3" width="18" customWidth="1"/>
    <col min="4" max="5" width="4" customWidth="1"/>
    <col min="6" max="6" width="28" customWidth="1"/>
    <col min="7" max="7" width="18" customWidth="1"/>
    <col min="8" max="8" width="4" customWidth="1"/>
  </cols>
  <sheetData>
    <row r="1" spans="1:8" ht="36" customHeight="1" x14ac:dyDescent="0.35">
      <c r="A1" s="38" t="s">
        <v>0</v>
      </c>
      <c r="B1" s="38"/>
      <c r="C1" s="38"/>
      <c r="D1" s="38"/>
      <c r="E1" s="38"/>
      <c r="F1" s="38"/>
      <c r="G1" s="38"/>
      <c r="H1" s="38"/>
    </row>
    <row r="3" spans="1:8" ht="25.5" customHeight="1" x14ac:dyDescent="0.35">
      <c r="B3" s="2" t="s">
        <v>1</v>
      </c>
      <c r="C3" s="3"/>
      <c r="F3" s="4" t="s">
        <v>2</v>
      </c>
      <c r="G3" s="5"/>
    </row>
    <row r="4" spans="1:8" ht="25.5" customHeight="1" x14ac:dyDescent="0.35">
      <c r="B4" s="6" t="s">
        <v>3</v>
      </c>
      <c r="C4" s="7">
        <f>COUNTA('Property Lookup'!B4:B500)</f>
        <v>144</v>
      </c>
      <c r="F4" s="6" t="s">
        <v>4</v>
      </c>
      <c r="G4" s="8">
        <f>SUM('Revenue Tracker'!Z5:Z1004)</f>
        <v>0</v>
      </c>
    </row>
    <row r="5" spans="1:8" ht="25.5" customHeight="1" x14ac:dyDescent="0.35">
      <c r="B5" s="6" t="s">
        <v>5</v>
      </c>
      <c r="C5" s="7">
        <f>COUNTIF('Property Lookup'!I4:I500,"OCCUPIED")</f>
        <v>106</v>
      </c>
      <c r="F5" s="6" t="s">
        <v>6</v>
      </c>
      <c r="G5" s="8">
        <f>SUM('Revenue Tracker'!AS5:AS1004)</f>
        <v>0</v>
      </c>
    </row>
    <row r="6" spans="1:8" ht="25.5" customHeight="1" x14ac:dyDescent="0.35">
      <c r="B6" s="6" t="s">
        <v>7</v>
      </c>
      <c r="C6" s="7">
        <f>COUNTIF('Property Lookup'!I4:I500,"VACANT")</f>
        <v>7</v>
      </c>
      <c r="F6" s="6" t="s">
        <v>8</v>
      </c>
      <c r="G6" s="8">
        <f>SUM('Revenue Tracker'!AT5:AT1004)</f>
        <v>0</v>
      </c>
    </row>
    <row r="7" spans="1:8" ht="25.5" customHeight="1" x14ac:dyDescent="0.35">
      <c r="B7" s="6" t="s">
        <v>9</v>
      </c>
      <c r="C7" s="7">
        <f>COUNTIF('Property Lookup'!H4:H500,"OWN")</f>
        <v>22</v>
      </c>
      <c r="F7" s="6" t="s">
        <v>10</v>
      </c>
      <c r="G7" s="8">
        <f>SUM('Revenue Tracker'!AU5:AU1004)</f>
        <v>0</v>
      </c>
    </row>
    <row r="8" spans="1:8" ht="25.5" customHeight="1" x14ac:dyDescent="0.35">
      <c r="B8" s="6" t="s">
        <v>11</v>
      </c>
      <c r="C8" s="7">
        <f>COUNTIF('Property Lookup'!H4:H500,"SUB")</f>
        <v>122</v>
      </c>
      <c r="F8" s="6" t="s">
        <v>12</v>
      </c>
      <c r="G8" s="8">
        <f>SUMPRODUCT(('Revenue Tracker'!AC5:AC1004)-('Revenue Tracker'!AK5:AK1004))</f>
        <v>0</v>
      </c>
    </row>
    <row r="9" spans="1:8" ht="25.5" customHeight="1" x14ac:dyDescent="0.35"/>
    <row r="10" spans="1:8" ht="25.5" customHeight="1" x14ac:dyDescent="0.35">
      <c r="B10" s="2" t="s">
        <v>13</v>
      </c>
      <c r="C10" s="3"/>
      <c r="F10" s="9" t="s">
        <v>14</v>
      </c>
      <c r="G10" s="10"/>
    </row>
    <row r="11" spans="1:8" ht="25.5" customHeight="1" x14ac:dyDescent="0.35">
      <c r="B11" s="6" t="s">
        <v>15</v>
      </c>
      <c r="C11" s="7">
        <f>COUNTA('Revenue Tracker'!B5:B1004)</f>
        <v>0</v>
      </c>
      <c r="F11" s="6" t="s">
        <v>16</v>
      </c>
      <c r="G11" s="8" t="e">
        <f>SUM('Revenue Tracker'!#REF!)</f>
        <v>#REF!</v>
      </c>
    </row>
    <row r="12" spans="1:8" ht="25.5" customHeight="1" x14ac:dyDescent="0.35">
      <c r="B12" s="6" t="s">
        <v>17</v>
      </c>
      <c r="C12" s="7">
        <f>COUNTA('Guest Profiles'!B5:B1004)</f>
        <v>0</v>
      </c>
      <c r="F12" s="6" t="s">
        <v>18</v>
      </c>
      <c r="G12" s="8" t="e">
        <f>SUM('Revenue Tracker'!#REF!)</f>
        <v>#REF!</v>
      </c>
    </row>
    <row r="13" spans="1:8" ht="25.5" customHeight="1" x14ac:dyDescent="0.35">
      <c r="B13" s="6" t="s">
        <v>19</v>
      </c>
      <c r="C13" s="7">
        <f>COUNTIF('Revenue Tracker'!X5:X1004,"Business")</f>
        <v>0</v>
      </c>
      <c r="F13" s="6" t="s">
        <v>20</v>
      </c>
      <c r="G13" s="8">
        <f>SUM('Revenue Tracker'!AQ5:AQ1004)</f>
        <v>0</v>
      </c>
    </row>
    <row r="14" spans="1:8" ht="25.5" customHeight="1" x14ac:dyDescent="0.35">
      <c r="B14" s="6" t="s">
        <v>21</v>
      </c>
      <c r="C14" s="7">
        <f>COUNTIF('Revenue Tracker'!X5:X1004,"Leisure")</f>
        <v>0</v>
      </c>
      <c r="F14" s="6" t="s">
        <v>22</v>
      </c>
      <c r="G14" s="8">
        <f>SUM('Revenue Tracker'!AR5:AR1004)</f>
        <v>0</v>
      </c>
    </row>
    <row r="17" spans="2:7" ht="15" customHeight="1" x14ac:dyDescent="0.35">
      <c r="B17" s="39" t="s">
        <v>23</v>
      </c>
      <c r="C17" s="39"/>
      <c r="D17" s="39"/>
      <c r="E17" s="39"/>
      <c r="F17" s="39"/>
      <c r="G17" s="39"/>
    </row>
    <row r="18" spans="2:7" ht="21.75" customHeight="1" x14ac:dyDescent="0.35">
      <c r="B18" s="11" t="s">
        <v>24</v>
      </c>
      <c r="C18" s="36" t="s">
        <v>25</v>
      </c>
      <c r="D18" s="36"/>
      <c r="E18" s="37" t="s">
        <v>26</v>
      </c>
      <c r="F18" s="37"/>
      <c r="G18" s="37"/>
    </row>
    <row r="19" spans="2:7" ht="21.75" customHeight="1" x14ac:dyDescent="0.35">
      <c r="B19" s="11" t="s">
        <v>27</v>
      </c>
      <c r="C19" s="36" t="s">
        <v>25</v>
      </c>
      <c r="D19" s="36"/>
      <c r="E19" s="37" t="s">
        <v>28</v>
      </c>
      <c r="F19" s="37"/>
      <c r="G19" s="37"/>
    </row>
    <row r="20" spans="2:7" ht="21.75" customHeight="1" x14ac:dyDescent="0.35">
      <c r="B20" s="11" t="s">
        <v>29</v>
      </c>
      <c r="C20" s="36" t="s">
        <v>30</v>
      </c>
      <c r="D20" s="36"/>
      <c r="E20" s="37" t="s">
        <v>31</v>
      </c>
      <c r="F20" s="37"/>
      <c r="G20" s="37"/>
    </row>
    <row r="21" spans="2:7" ht="21.75" customHeight="1" x14ac:dyDescent="0.35">
      <c r="B21" s="11" t="s">
        <v>32</v>
      </c>
      <c r="C21" s="36" t="s">
        <v>33</v>
      </c>
      <c r="D21" s="36"/>
      <c r="E21" s="37" t="s">
        <v>34</v>
      </c>
      <c r="F21" s="37"/>
      <c r="G21" s="37"/>
    </row>
    <row r="22" spans="2:7" ht="21.75" customHeight="1" x14ac:dyDescent="0.35">
      <c r="B22" s="11" t="s">
        <v>35</v>
      </c>
      <c r="C22" s="36" t="s">
        <v>36</v>
      </c>
      <c r="D22" s="36"/>
      <c r="E22" s="37" t="s">
        <v>37</v>
      </c>
      <c r="F22" s="37"/>
      <c r="G22" s="37"/>
    </row>
    <row r="23" spans="2:7" ht="21.75" customHeight="1" x14ac:dyDescent="0.35">
      <c r="B23" s="11" t="s">
        <v>38</v>
      </c>
      <c r="C23" s="36" t="s">
        <v>39</v>
      </c>
      <c r="D23" s="36"/>
      <c r="E23" s="37" t="s">
        <v>40</v>
      </c>
      <c r="F23" s="37"/>
      <c r="G23" s="37"/>
    </row>
  </sheetData>
  <mergeCells count="14">
    <mergeCell ref="A1:H1"/>
    <mergeCell ref="B17:G17"/>
    <mergeCell ref="C18:D18"/>
    <mergeCell ref="E18:G18"/>
    <mergeCell ref="C19:D19"/>
    <mergeCell ref="E19:G19"/>
    <mergeCell ref="C23:D23"/>
    <mergeCell ref="E23:G23"/>
    <mergeCell ref="C20:D20"/>
    <mergeCell ref="E20:G20"/>
    <mergeCell ref="C21:D21"/>
    <mergeCell ref="E21:G21"/>
    <mergeCell ref="C22:D22"/>
    <mergeCell ref="E22:G22"/>
  </mergeCells>
  <pageMargins left="0.75" right="0.75" top="1" bottom="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22228"/>
  </sheetPr>
  <dimension ref="A1:AK204"/>
  <sheetViews>
    <sheetView zoomScaleNormal="100" workbookViewId="0">
      <pane xSplit="3" ySplit="4" topLeftCell="AF5" activePane="bottomRight" state="frozen"/>
      <selection pane="topRight" activeCell="D1" sqref="D1"/>
      <selection pane="bottomLeft" activeCell="A5" sqref="A5"/>
      <selection pane="bottomRight" activeCell="Z4" sqref="Z4"/>
    </sheetView>
  </sheetViews>
  <sheetFormatPr defaultColWidth="8.6328125" defaultRowHeight="14.5" x14ac:dyDescent="0.35"/>
  <cols>
    <col min="1" max="1" width="6" customWidth="1"/>
    <col min="2" max="2" width="16" customWidth="1"/>
    <col min="3" max="3" width="15" customWidth="1"/>
    <col min="4" max="4" width="10" customWidth="1"/>
    <col min="5" max="6" width="16" customWidth="1"/>
    <col min="7" max="7" width="24" customWidth="1"/>
    <col min="8" max="8" width="13" customWidth="1"/>
    <col min="9" max="9" width="26" customWidth="1"/>
    <col min="10" max="12" width="22" customWidth="1"/>
    <col min="13" max="13" width="16" customWidth="1"/>
    <col min="14" max="15" width="12" customWidth="1"/>
    <col min="16" max="16" width="22" customWidth="1"/>
    <col min="17" max="17" width="9" customWidth="1"/>
    <col min="18" max="18" width="14" customWidth="1"/>
    <col min="19" max="19" width="8" customWidth="1"/>
    <col min="20" max="20" width="14" customWidth="1"/>
    <col min="21" max="21" width="10" customWidth="1"/>
    <col min="22" max="22" width="14" customWidth="1"/>
    <col min="23" max="23" width="16" customWidth="1"/>
    <col min="24" max="24" width="18" customWidth="1"/>
    <col min="25" max="25" width="14" customWidth="1"/>
    <col min="26" max="26" width="26" customWidth="1"/>
    <col min="27" max="27" width="12" customWidth="1"/>
    <col min="28" max="28" width="22" customWidth="1"/>
    <col min="29" max="29" width="16" customWidth="1"/>
    <col min="30" max="30" width="24" customWidth="1"/>
    <col min="31" max="31" width="16" customWidth="1"/>
    <col min="32" max="34" width="12" customWidth="1"/>
    <col min="35" max="35" width="17" bestFit="1" customWidth="1"/>
    <col min="36" max="36" width="28" customWidth="1"/>
    <col min="37" max="37" width="12" customWidth="1"/>
  </cols>
  <sheetData>
    <row r="1" spans="1:37" ht="36" customHeight="1" x14ac:dyDescent="0.35">
      <c r="A1" s="40" t="s">
        <v>41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</row>
    <row r="2" spans="1:37" ht="19.5" customHeight="1" x14ac:dyDescent="0.35">
      <c r="A2" s="41" t="s">
        <v>42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</row>
    <row r="3" spans="1:37" ht="24" customHeight="1" x14ac:dyDescent="0.35">
      <c r="A3" s="42" t="s">
        <v>43</v>
      </c>
      <c r="B3" s="42"/>
      <c r="C3" s="42"/>
      <c r="D3" s="42"/>
      <c r="E3" s="42"/>
      <c r="F3" s="42"/>
      <c r="G3" s="42"/>
      <c r="H3" s="42"/>
      <c r="I3" s="43" t="s">
        <v>44</v>
      </c>
      <c r="J3" s="43"/>
      <c r="K3" s="43"/>
      <c r="L3" s="43"/>
      <c r="M3" s="43"/>
      <c r="N3" s="43"/>
      <c r="O3" s="43"/>
      <c r="P3" s="44" t="s">
        <v>45</v>
      </c>
      <c r="Q3" s="44"/>
      <c r="R3" s="44"/>
      <c r="S3" s="44"/>
      <c r="T3" s="44"/>
      <c r="U3" s="44"/>
      <c r="V3" s="45" t="s">
        <v>46</v>
      </c>
      <c r="W3" s="45"/>
      <c r="X3" s="45"/>
      <c r="Y3" s="45"/>
      <c r="Z3" s="45"/>
      <c r="AA3" s="45"/>
      <c r="AB3" s="46" t="s">
        <v>47</v>
      </c>
      <c r="AC3" s="46"/>
      <c r="AD3" s="46"/>
      <c r="AE3" s="46"/>
      <c r="AF3" s="46"/>
      <c r="AG3" s="1"/>
      <c r="AH3" s="47" t="s">
        <v>48</v>
      </c>
      <c r="AI3" s="47"/>
      <c r="AJ3" s="47"/>
      <c r="AK3" s="47"/>
    </row>
    <row r="4" spans="1:37" ht="51.75" customHeight="1" x14ac:dyDescent="0.35">
      <c r="A4" s="12" t="s">
        <v>49</v>
      </c>
      <c r="B4" s="12" t="s">
        <v>50</v>
      </c>
      <c r="C4" s="12" t="s">
        <v>51</v>
      </c>
      <c r="D4" s="12" t="s">
        <v>52</v>
      </c>
      <c r="E4" s="12" t="s">
        <v>53</v>
      </c>
      <c r="F4" s="12" t="s">
        <v>54</v>
      </c>
      <c r="G4" s="12" t="s">
        <v>55</v>
      </c>
      <c r="H4" s="12" t="s">
        <v>56</v>
      </c>
      <c r="I4" s="13" t="s">
        <v>57</v>
      </c>
      <c r="J4" s="13" t="s">
        <v>58</v>
      </c>
      <c r="K4" s="13" t="s">
        <v>59</v>
      </c>
      <c r="L4" s="13" t="s">
        <v>60</v>
      </c>
      <c r="M4" s="13" t="s">
        <v>61</v>
      </c>
      <c r="N4" s="13" t="s">
        <v>62</v>
      </c>
      <c r="O4" s="13" t="s">
        <v>63</v>
      </c>
      <c r="P4" s="14" t="s">
        <v>64</v>
      </c>
      <c r="Q4" s="14" t="s">
        <v>65</v>
      </c>
      <c r="R4" s="14" t="s">
        <v>66</v>
      </c>
      <c r="S4" s="14" t="s">
        <v>67</v>
      </c>
      <c r="T4" s="14" t="s">
        <v>68</v>
      </c>
      <c r="U4" s="14" t="s">
        <v>69</v>
      </c>
      <c r="V4" s="15" t="s">
        <v>70</v>
      </c>
      <c r="W4" s="15" t="s">
        <v>71</v>
      </c>
      <c r="X4" s="15" t="s">
        <v>72</v>
      </c>
      <c r="Y4" s="15" t="s">
        <v>73</v>
      </c>
      <c r="Z4" s="15" t="s">
        <v>74</v>
      </c>
      <c r="AA4" s="15" t="s">
        <v>75</v>
      </c>
      <c r="AB4" s="16" t="s">
        <v>76</v>
      </c>
      <c r="AC4" s="16" t="s">
        <v>77</v>
      </c>
      <c r="AD4" s="16" t="s">
        <v>78</v>
      </c>
      <c r="AE4" s="16" t="s">
        <v>79</v>
      </c>
      <c r="AF4" s="16" t="s">
        <v>80</v>
      </c>
      <c r="AG4" s="16" t="s">
        <v>500</v>
      </c>
      <c r="AH4" s="17" t="s">
        <v>501</v>
      </c>
      <c r="AI4" s="17" t="s">
        <v>502</v>
      </c>
      <c r="AJ4" s="17" t="s">
        <v>81</v>
      </c>
      <c r="AK4" s="17" t="s">
        <v>82</v>
      </c>
    </row>
    <row r="5" spans="1:37" ht="21.75" customHeight="1" x14ac:dyDescent="0.35">
      <c r="A5" s="18">
        <f t="shared" ref="A5:A36" si="0">ROW()-4</f>
        <v>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</row>
    <row r="6" spans="1:37" ht="21.75" customHeight="1" x14ac:dyDescent="0.35">
      <c r="A6" s="20">
        <f t="shared" si="0"/>
        <v>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</row>
    <row r="7" spans="1:37" ht="21.75" customHeight="1" x14ac:dyDescent="0.35">
      <c r="A7" s="18">
        <f t="shared" si="0"/>
        <v>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</row>
    <row r="8" spans="1:37" ht="21.75" customHeight="1" x14ac:dyDescent="0.35">
      <c r="A8" s="20">
        <f t="shared" si="0"/>
        <v>4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</row>
    <row r="9" spans="1:37" ht="21.75" customHeight="1" x14ac:dyDescent="0.35">
      <c r="A9" s="18">
        <f t="shared" si="0"/>
        <v>5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spans="1:37" ht="21.75" customHeight="1" x14ac:dyDescent="0.35">
      <c r="A10" s="20">
        <f t="shared" si="0"/>
        <v>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</row>
    <row r="11" spans="1:37" ht="21.75" customHeight="1" x14ac:dyDescent="0.35">
      <c r="A11" s="18">
        <f t="shared" si="0"/>
        <v>7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</row>
    <row r="12" spans="1:37" ht="21.75" customHeight="1" x14ac:dyDescent="0.35">
      <c r="A12" s="20">
        <f t="shared" si="0"/>
        <v>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</row>
    <row r="13" spans="1:37" ht="21.75" customHeight="1" x14ac:dyDescent="0.35">
      <c r="A13" s="18">
        <f t="shared" si="0"/>
        <v>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</row>
    <row r="14" spans="1:37" ht="21.75" customHeight="1" x14ac:dyDescent="0.35">
      <c r="A14" s="20">
        <f t="shared" si="0"/>
        <v>10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</row>
    <row r="15" spans="1:37" ht="21.75" customHeight="1" x14ac:dyDescent="0.35">
      <c r="A15" s="18">
        <f t="shared" si="0"/>
        <v>11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</row>
    <row r="16" spans="1:37" ht="21.75" customHeight="1" x14ac:dyDescent="0.35">
      <c r="A16" s="20">
        <f t="shared" si="0"/>
        <v>12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</row>
    <row r="17" spans="1:37" ht="21.75" customHeight="1" x14ac:dyDescent="0.35">
      <c r="A17" s="18">
        <f t="shared" si="0"/>
        <v>13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</row>
    <row r="18" spans="1:37" ht="21.75" customHeight="1" x14ac:dyDescent="0.35">
      <c r="A18" s="20">
        <f t="shared" si="0"/>
        <v>14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</row>
    <row r="19" spans="1:37" ht="21.75" customHeight="1" x14ac:dyDescent="0.35">
      <c r="A19" s="18">
        <f t="shared" si="0"/>
        <v>15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</row>
    <row r="20" spans="1:37" ht="21.75" customHeight="1" x14ac:dyDescent="0.35">
      <c r="A20" s="20">
        <f t="shared" si="0"/>
        <v>16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</row>
    <row r="21" spans="1:37" ht="21.75" customHeight="1" x14ac:dyDescent="0.35">
      <c r="A21" s="18">
        <f t="shared" si="0"/>
        <v>17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</row>
    <row r="22" spans="1:37" ht="21.75" customHeight="1" x14ac:dyDescent="0.35">
      <c r="A22" s="20">
        <f t="shared" si="0"/>
        <v>18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</row>
    <row r="23" spans="1:37" ht="21.75" customHeight="1" x14ac:dyDescent="0.35">
      <c r="A23" s="18">
        <f t="shared" si="0"/>
        <v>19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</row>
    <row r="24" spans="1:37" ht="21.75" customHeight="1" x14ac:dyDescent="0.35">
      <c r="A24" s="20">
        <f t="shared" si="0"/>
        <v>20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</row>
    <row r="25" spans="1:37" ht="21.75" customHeight="1" x14ac:dyDescent="0.35">
      <c r="A25" s="18">
        <f t="shared" si="0"/>
        <v>21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</row>
    <row r="26" spans="1:37" ht="21.75" customHeight="1" x14ac:dyDescent="0.35">
      <c r="A26" s="20">
        <f t="shared" si="0"/>
        <v>22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</row>
    <row r="27" spans="1:37" ht="21.75" customHeight="1" x14ac:dyDescent="0.35">
      <c r="A27" s="18">
        <f t="shared" si="0"/>
        <v>23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</row>
    <row r="28" spans="1:37" ht="21.75" customHeight="1" x14ac:dyDescent="0.35">
      <c r="A28" s="20">
        <f t="shared" si="0"/>
        <v>24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</row>
    <row r="29" spans="1:37" ht="21.75" customHeight="1" x14ac:dyDescent="0.35">
      <c r="A29" s="18">
        <f t="shared" si="0"/>
        <v>25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</row>
    <row r="30" spans="1:37" ht="21.75" customHeight="1" x14ac:dyDescent="0.35">
      <c r="A30" s="20">
        <f t="shared" si="0"/>
        <v>26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</row>
    <row r="31" spans="1:37" ht="21.75" customHeight="1" x14ac:dyDescent="0.35">
      <c r="A31" s="18">
        <f t="shared" si="0"/>
        <v>27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</row>
    <row r="32" spans="1:37" ht="21.75" customHeight="1" x14ac:dyDescent="0.35">
      <c r="A32" s="20">
        <f t="shared" si="0"/>
        <v>28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</row>
    <row r="33" spans="1:37" ht="21.75" customHeight="1" x14ac:dyDescent="0.35">
      <c r="A33" s="18">
        <f t="shared" si="0"/>
        <v>29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</row>
    <row r="34" spans="1:37" ht="21.75" customHeight="1" x14ac:dyDescent="0.35">
      <c r="A34" s="20">
        <f t="shared" si="0"/>
        <v>30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</row>
    <row r="35" spans="1:37" ht="21.75" customHeight="1" x14ac:dyDescent="0.35">
      <c r="A35" s="18">
        <f t="shared" si="0"/>
        <v>31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</row>
    <row r="36" spans="1:37" ht="21.75" customHeight="1" x14ac:dyDescent="0.35">
      <c r="A36" s="20">
        <f t="shared" si="0"/>
        <v>32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</row>
    <row r="37" spans="1:37" ht="21.75" customHeight="1" x14ac:dyDescent="0.35">
      <c r="A37" s="18">
        <f t="shared" ref="A37:A68" si="1">ROW()-4</f>
        <v>33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</row>
    <row r="38" spans="1:37" ht="21.75" customHeight="1" x14ac:dyDescent="0.35">
      <c r="A38" s="20">
        <f t="shared" si="1"/>
        <v>34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</row>
    <row r="39" spans="1:37" ht="21.75" customHeight="1" x14ac:dyDescent="0.35">
      <c r="A39" s="18">
        <f t="shared" si="1"/>
        <v>35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</row>
    <row r="40" spans="1:37" ht="21.75" customHeight="1" x14ac:dyDescent="0.35">
      <c r="A40" s="20">
        <f t="shared" si="1"/>
        <v>36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</row>
    <row r="41" spans="1:37" ht="21.75" customHeight="1" x14ac:dyDescent="0.35">
      <c r="A41" s="18">
        <f t="shared" si="1"/>
        <v>37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</row>
    <row r="42" spans="1:37" ht="21.75" customHeight="1" x14ac:dyDescent="0.35">
      <c r="A42" s="20">
        <f t="shared" si="1"/>
        <v>38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</row>
    <row r="43" spans="1:37" ht="21.75" customHeight="1" x14ac:dyDescent="0.35">
      <c r="A43" s="18">
        <f t="shared" si="1"/>
        <v>39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</row>
    <row r="44" spans="1:37" ht="21.75" customHeight="1" x14ac:dyDescent="0.35">
      <c r="A44" s="20">
        <f t="shared" si="1"/>
        <v>40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</row>
    <row r="45" spans="1:37" ht="21.75" customHeight="1" x14ac:dyDescent="0.35">
      <c r="A45" s="18">
        <f t="shared" si="1"/>
        <v>41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</row>
    <row r="46" spans="1:37" ht="21.75" customHeight="1" x14ac:dyDescent="0.35">
      <c r="A46" s="20">
        <f t="shared" si="1"/>
        <v>42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</row>
    <row r="47" spans="1:37" ht="21.75" customHeight="1" x14ac:dyDescent="0.35">
      <c r="A47" s="18">
        <f t="shared" si="1"/>
        <v>43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</row>
    <row r="48" spans="1:37" ht="21.75" customHeight="1" x14ac:dyDescent="0.35">
      <c r="A48" s="20">
        <f t="shared" si="1"/>
        <v>44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</row>
    <row r="49" spans="1:37" ht="21.75" customHeight="1" x14ac:dyDescent="0.35">
      <c r="A49" s="18">
        <f t="shared" si="1"/>
        <v>45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</row>
    <row r="50" spans="1:37" ht="21.75" customHeight="1" x14ac:dyDescent="0.35">
      <c r="A50" s="20">
        <f t="shared" si="1"/>
        <v>46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</row>
    <row r="51" spans="1:37" ht="21.75" customHeight="1" x14ac:dyDescent="0.35">
      <c r="A51" s="18">
        <f t="shared" si="1"/>
        <v>47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</row>
    <row r="52" spans="1:37" ht="21.75" customHeight="1" x14ac:dyDescent="0.35">
      <c r="A52" s="20">
        <f t="shared" si="1"/>
        <v>48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</row>
    <row r="53" spans="1:37" ht="21.75" customHeight="1" x14ac:dyDescent="0.35">
      <c r="A53" s="18">
        <f t="shared" si="1"/>
        <v>49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</row>
    <row r="54" spans="1:37" ht="21.75" customHeight="1" x14ac:dyDescent="0.35">
      <c r="A54" s="20">
        <f t="shared" si="1"/>
        <v>50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</row>
    <row r="55" spans="1:37" ht="21.75" customHeight="1" x14ac:dyDescent="0.35">
      <c r="A55" s="18">
        <f t="shared" si="1"/>
        <v>51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</row>
    <row r="56" spans="1:37" ht="21.75" customHeight="1" x14ac:dyDescent="0.35">
      <c r="A56" s="20">
        <f t="shared" si="1"/>
        <v>52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</row>
    <row r="57" spans="1:37" ht="21.75" customHeight="1" x14ac:dyDescent="0.35">
      <c r="A57" s="18">
        <f t="shared" si="1"/>
        <v>53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</row>
    <row r="58" spans="1:37" ht="21.75" customHeight="1" x14ac:dyDescent="0.35">
      <c r="A58" s="20">
        <f t="shared" si="1"/>
        <v>54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</row>
    <row r="59" spans="1:37" ht="21.75" customHeight="1" x14ac:dyDescent="0.35">
      <c r="A59" s="18">
        <f t="shared" si="1"/>
        <v>55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</row>
    <row r="60" spans="1:37" ht="21.75" customHeight="1" x14ac:dyDescent="0.35">
      <c r="A60" s="20">
        <f t="shared" si="1"/>
        <v>56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</row>
    <row r="61" spans="1:37" ht="21.75" customHeight="1" x14ac:dyDescent="0.35">
      <c r="A61" s="18">
        <f t="shared" si="1"/>
        <v>57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</row>
    <row r="62" spans="1:37" ht="21.75" customHeight="1" x14ac:dyDescent="0.35">
      <c r="A62" s="20">
        <f t="shared" si="1"/>
        <v>58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</row>
    <row r="63" spans="1:37" ht="21.75" customHeight="1" x14ac:dyDescent="0.35">
      <c r="A63" s="18">
        <f t="shared" si="1"/>
        <v>59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</row>
    <row r="64" spans="1:37" ht="21.75" customHeight="1" x14ac:dyDescent="0.35">
      <c r="A64" s="20">
        <f t="shared" si="1"/>
        <v>60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</row>
    <row r="65" spans="1:37" ht="21.75" customHeight="1" x14ac:dyDescent="0.35">
      <c r="A65" s="18">
        <f t="shared" si="1"/>
        <v>61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</row>
    <row r="66" spans="1:37" ht="21.75" customHeight="1" x14ac:dyDescent="0.35">
      <c r="A66" s="20">
        <f t="shared" si="1"/>
        <v>62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</row>
    <row r="67" spans="1:37" ht="21.75" customHeight="1" x14ac:dyDescent="0.35">
      <c r="A67" s="18">
        <f t="shared" si="1"/>
        <v>63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</row>
    <row r="68" spans="1:37" ht="21.75" customHeight="1" x14ac:dyDescent="0.35">
      <c r="A68" s="20">
        <f t="shared" si="1"/>
        <v>64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</row>
    <row r="69" spans="1:37" ht="21.75" customHeight="1" x14ac:dyDescent="0.35">
      <c r="A69" s="18">
        <f t="shared" ref="A69:A100" si="2">ROW()-4</f>
        <v>65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</row>
    <row r="70" spans="1:37" ht="21.75" customHeight="1" x14ac:dyDescent="0.35">
      <c r="A70" s="20">
        <f t="shared" si="2"/>
        <v>66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</row>
    <row r="71" spans="1:37" ht="21.75" customHeight="1" x14ac:dyDescent="0.35">
      <c r="A71" s="18">
        <f t="shared" si="2"/>
        <v>67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</row>
    <row r="72" spans="1:37" ht="21.75" customHeight="1" x14ac:dyDescent="0.35">
      <c r="A72" s="20">
        <f t="shared" si="2"/>
        <v>68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</row>
    <row r="73" spans="1:37" ht="21.75" customHeight="1" x14ac:dyDescent="0.35">
      <c r="A73" s="18">
        <f t="shared" si="2"/>
        <v>69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</row>
    <row r="74" spans="1:37" ht="21.75" customHeight="1" x14ac:dyDescent="0.35">
      <c r="A74" s="20">
        <f t="shared" si="2"/>
        <v>70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</row>
    <row r="75" spans="1:37" ht="21.75" customHeight="1" x14ac:dyDescent="0.35">
      <c r="A75" s="18">
        <f t="shared" si="2"/>
        <v>71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</row>
    <row r="76" spans="1:37" ht="21.75" customHeight="1" x14ac:dyDescent="0.35">
      <c r="A76" s="20">
        <f t="shared" si="2"/>
        <v>72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</row>
    <row r="77" spans="1:37" ht="21.75" customHeight="1" x14ac:dyDescent="0.35">
      <c r="A77" s="18">
        <f t="shared" si="2"/>
        <v>73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</row>
    <row r="78" spans="1:37" ht="21.75" customHeight="1" x14ac:dyDescent="0.35">
      <c r="A78" s="20">
        <f t="shared" si="2"/>
        <v>74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</row>
    <row r="79" spans="1:37" ht="21.75" customHeight="1" x14ac:dyDescent="0.35">
      <c r="A79" s="18">
        <f t="shared" si="2"/>
        <v>75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</row>
    <row r="80" spans="1:37" ht="21.75" customHeight="1" x14ac:dyDescent="0.35">
      <c r="A80" s="20">
        <f t="shared" si="2"/>
        <v>76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</row>
    <row r="81" spans="1:37" ht="21.75" customHeight="1" x14ac:dyDescent="0.35">
      <c r="A81" s="18">
        <f t="shared" si="2"/>
        <v>77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</row>
    <row r="82" spans="1:37" ht="21.75" customHeight="1" x14ac:dyDescent="0.35">
      <c r="A82" s="20">
        <f t="shared" si="2"/>
        <v>78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</row>
    <row r="83" spans="1:37" ht="21.75" customHeight="1" x14ac:dyDescent="0.35">
      <c r="A83" s="18">
        <f t="shared" si="2"/>
        <v>79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</row>
    <row r="84" spans="1:37" ht="21.75" customHeight="1" x14ac:dyDescent="0.35">
      <c r="A84" s="20">
        <f t="shared" si="2"/>
        <v>80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</row>
    <row r="85" spans="1:37" ht="21.75" customHeight="1" x14ac:dyDescent="0.35">
      <c r="A85" s="18">
        <f t="shared" si="2"/>
        <v>81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</row>
    <row r="86" spans="1:37" ht="21.75" customHeight="1" x14ac:dyDescent="0.35">
      <c r="A86" s="20">
        <f t="shared" si="2"/>
        <v>82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</row>
    <row r="87" spans="1:37" ht="21.75" customHeight="1" x14ac:dyDescent="0.35">
      <c r="A87" s="18">
        <f t="shared" si="2"/>
        <v>83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</row>
    <row r="88" spans="1:37" ht="21.75" customHeight="1" x14ac:dyDescent="0.35">
      <c r="A88" s="20">
        <f t="shared" si="2"/>
        <v>84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</row>
    <row r="89" spans="1:37" ht="21.75" customHeight="1" x14ac:dyDescent="0.35">
      <c r="A89" s="18">
        <f t="shared" si="2"/>
        <v>85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</row>
    <row r="90" spans="1:37" ht="21.75" customHeight="1" x14ac:dyDescent="0.35">
      <c r="A90" s="20">
        <f t="shared" si="2"/>
        <v>86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</row>
    <row r="91" spans="1:37" ht="21.75" customHeight="1" x14ac:dyDescent="0.35">
      <c r="A91" s="18">
        <f t="shared" si="2"/>
        <v>87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</row>
    <row r="92" spans="1:37" ht="21.75" customHeight="1" x14ac:dyDescent="0.35">
      <c r="A92" s="20">
        <f t="shared" si="2"/>
        <v>88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</row>
    <row r="93" spans="1:37" ht="21.75" customHeight="1" x14ac:dyDescent="0.35">
      <c r="A93" s="18">
        <f t="shared" si="2"/>
        <v>89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</row>
    <row r="94" spans="1:37" ht="21.75" customHeight="1" x14ac:dyDescent="0.35">
      <c r="A94" s="20">
        <f t="shared" si="2"/>
        <v>90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</row>
    <row r="95" spans="1:37" ht="21.75" customHeight="1" x14ac:dyDescent="0.35">
      <c r="A95" s="18">
        <f t="shared" si="2"/>
        <v>91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</row>
    <row r="96" spans="1:37" ht="21.75" customHeight="1" x14ac:dyDescent="0.35">
      <c r="A96" s="20">
        <f t="shared" si="2"/>
        <v>92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</row>
    <row r="97" spans="1:37" ht="21.75" customHeight="1" x14ac:dyDescent="0.35">
      <c r="A97" s="18">
        <f t="shared" si="2"/>
        <v>93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</row>
    <row r="98" spans="1:37" ht="21.75" customHeight="1" x14ac:dyDescent="0.35">
      <c r="A98" s="20">
        <f t="shared" si="2"/>
        <v>94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</row>
    <row r="99" spans="1:37" ht="21.75" customHeight="1" x14ac:dyDescent="0.35">
      <c r="A99" s="18">
        <f t="shared" si="2"/>
        <v>95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</row>
    <row r="100" spans="1:37" ht="21.75" customHeight="1" x14ac:dyDescent="0.35">
      <c r="A100" s="20">
        <f t="shared" si="2"/>
        <v>96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</row>
    <row r="101" spans="1:37" ht="21.75" customHeight="1" x14ac:dyDescent="0.35">
      <c r="A101" s="18">
        <f t="shared" ref="A101:A132" si="3">ROW()-4</f>
        <v>97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</row>
    <row r="102" spans="1:37" ht="21.75" customHeight="1" x14ac:dyDescent="0.35">
      <c r="A102" s="20">
        <f t="shared" si="3"/>
        <v>98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</row>
    <row r="103" spans="1:37" ht="21.75" customHeight="1" x14ac:dyDescent="0.35">
      <c r="A103" s="18">
        <f t="shared" si="3"/>
        <v>99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</row>
    <row r="104" spans="1:37" ht="21.75" customHeight="1" x14ac:dyDescent="0.35">
      <c r="A104" s="20">
        <f t="shared" si="3"/>
        <v>100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</row>
    <row r="105" spans="1:37" ht="21.75" customHeight="1" x14ac:dyDescent="0.35">
      <c r="A105" s="18">
        <f t="shared" si="3"/>
        <v>101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</row>
    <row r="106" spans="1:37" ht="21.75" customHeight="1" x14ac:dyDescent="0.35">
      <c r="A106" s="20">
        <f t="shared" si="3"/>
        <v>102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</row>
    <row r="107" spans="1:37" ht="21.75" customHeight="1" x14ac:dyDescent="0.35">
      <c r="A107" s="18">
        <f t="shared" si="3"/>
        <v>103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</row>
    <row r="108" spans="1:37" ht="21.75" customHeight="1" x14ac:dyDescent="0.35">
      <c r="A108" s="20">
        <f t="shared" si="3"/>
        <v>104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</row>
    <row r="109" spans="1:37" ht="21.75" customHeight="1" x14ac:dyDescent="0.35">
      <c r="A109" s="18">
        <f t="shared" si="3"/>
        <v>105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</row>
    <row r="110" spans="1:37" ht="21.75" customHeight="1" x14ac:dyDescent="0.35">
      <c r="A110" s="20">
        <f t="shared" si="3"/>
        <v>106</v>
      </c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</row>
    <row r="111" spans="1:37" ht="21.75" customHeight="1" x14ac:dyDescent="0.35">
      <c r="A111" s="18">
        <f t="shared" si="3"/>
        <v>107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</row>
    <row r="112" spans="1:37" ht="21.75" customHeight="1" x14ac:dyDescent="0.35">
      <c r="A112" s="20">
        <f t="shared" si="3"/>
        <v>108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</row>
    <row r="113" spans="1:37" ht="21.75" customHeight="1" x14ac:dyDescent="0.35">
      <c r="A113" s="18">
        <f t="shared" si="3"/>
        <v>109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</row>
    <row r="114" spans="1:37" ht="21.75" customHeight="1" x14ac:dyDescent="0.35">
      <c r="A114" s="20">
        <f t="shared" si="3"/>
        <v>110</v>
      </c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</row>
    <row r="115" spans="1:37" ht="21.75" customHeight="1" x14ac:dyDescent="0.35">
      <c r="A115" s="18">
        <f t="shared" si="3"/>
        <v>111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</row>
    <row r="116" spans="1:37" ht="21.75" customHeight="1" x14ac:dyDescent="0.35">
      <c r="A116" s="20">
        <f t="shared" si="3"/>
        <v>112</v>
      </c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</row>
    <row r="117" spans="1:37" ht="21.75" customHeight="1" x14ac:dyDescent="0.35">
      <c r="A117" s="18">
        <f t="shared" si="3"/>
        <v>113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</row>
    <row r="118" spans="1:37" ht="21.75" customHeight="1" x14ac:dyDescent="0.35">
      <c r="A118" s="20">
        <f t="shared" si="3"/>
        <v>114</v>
      </c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</row>
    <row r="119" spans="1:37" ht="21.75" customHeight="1" x14ac:dyDescent="0.35">
      <c r="A119" s="18">
        <f t="shared" si="3"/>
        <v>115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</row>
    <row r="120" spans="1:37" ht="21.75" customHeight="1" x14ac:dyDescent="0.35">
      <c r="A120" s="20">
        <f t="shared" si="3"/>
        <v>116</v>
      </c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</row>
    <row r="121" spans="1:37" ht="21.75" customHeight="1" x14ac:dyDescent="0.35">
      <c r="A121" s="18">
        <f t="shared" si="3"/>
        <v>117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</row>
    <row r="122" spans="1:37" ht="21.75" customHeight="1" x14ac:dyDescent="0.35">
      <c r="A122" s="20">
        <f t="shared" si="3"/>
        <v>118</v>
      </c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</row>
    <row r="123" spans="1:37" ht="21.75" customHeight="1" x14ac:dyDescent="0.35">
      <c r="A123" s="18">
        <f t="shared" si="3"/>
        <v>119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</row>
    <row r="124" spans="1:37" ht="21.75" customHeight="1" x14ac:dyDescent="0.35">
      <c r="A124" s="20">
        <f t="shared" si="3"/>
        <v>120</v>
      </c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</row>
    <row r="125" spans="1:37" ht="21.75" customHeight="1" x14ac:dyDescent="0.35">
      <c r="A125" s="18">
        <f t="shared" si="3"/>
        <v>121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</row>
    <row r="126" spans="1:37" ht="21.75" customHeight="1" x14ac:dyDescent="0.35">
      <c r="A126" s="20">
        <f t="shared" si="3"/>
        <v>122</v>
      </c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</row>
    <row r="127" spans="1:37" ht="21.75" customHeight="1" x14ac:dyDescent="0.35">
      <c r="A127" s="18">
        <f t="shared" si="3"/>
        <v>123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</row>
    <row r="128" spans="1:37" ht="21.75" customHeight="1" x14ac:dyDescent="0.35">
      <c r="A128" s="20">
        <f t="shared" si="3"/>
        <v>124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</row>
    <row r="129" spans="1:37" ht="21.75" customHeight="1" x14ac:dyDescent="0.35">
      <c r="A129" s="18">
        <f t="shared" si="3"/>
        <v>125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</row>
    <row r="130" spans="1:37" ht="21.75" customHeight="1" x14ac:dyDescent="0.35">
      <c r="A130" s="20">
        <f t="shared" si="3"/>
        <v>126</v>
      </c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</row>
    <row r="131" spans="1:37" ht="21.75" customHeight="1" x14ac:dyDescent="0.35">
      <c r="A131" s="18">
        <f t="shared" si="3"/>
        <v>127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</row>
    <row r="132" spans="1:37" ht="21.75" customHeight="1" x14ac:dyDescent="0.35">
      <c r="A132" s="20">
        <f t="shared" si="3"/>
        <v>128</v>
      </c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</row>
    <row r="133" spans="1:37" ht="21.75" customHeight="1" x14ac:dyDescent="0.35">
      <c r="A133" s="18">
        <f t="shared" ref="A133:A164" si="4">ROW()-4</f>
        <v>129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</row>
    <row r="134" spans="1:37" ht="21.75" customHeight="1" x14ac:dyDescent="0.35">
      <c r="A134" s="20">
        <f t="shared" si="4"/>
        <v>130</v>
      </c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</row>
    <row r="135" spans="1:37" ht="21.75" customHeight="1" x14ac:dyDescent="0.35">
      <c r="A135" s="18">
        <f t="shared" si="4"/>
        <v>131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</row>
    <row r="136" spans="1:37" ht="21.75" customHeight="1" x14ac:dyDescent="0.35">
      <c r="A136" s="20">
        <f t="shared" si="4"/>
        <v>132</v>
      </c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</row>
    <row r="137" spans="1:37" ht="21.75" customHeight="1" x14ac:dyDescent="0.35">
      <c r="A137" s="18">
        <f t="shared" si="4"/>
        <v>133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</row>
    <row r="138" spans="1:37" ht="21.75" customHeight="1" x14ac:dyDescent="0.35">
      <c r="A138" s="20">
        <f t="shared" si="4"/>
        <v>134</v>
      </c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</row>
    <row r="139" spans="1:37" ht="21.75" customHeight="1" x14ac:dyDescent="0.35">
      <c r="A139" s="18">
        <f t="shared" si="4"/>
        <v>135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</row>
    <row r="140" spans="1:37" ht="21.75" customHeight="1" x14ac:dyDescent="0.35">
      <c r="A140" s="20">
        <f t="shared" si="4"/>
        <v>136</v>
      </c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</row>
    <row r="141" spans="1:37" ht="21.75" customHeight="1" x14ac:dyDescent="0.35">
      <c r="A141" s="18">
        <f t="shared" si="4"/>
        <v>137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</row>
    <row r="142" spans="1:37" ht="21.75" customHeight="1" x14ac:dyDescent="0.35">
      <c r="A142" s="20">
        <f t="shared" si="4"/>
        <v>138</v>
      </c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</row>
    <row r="143" spans="1:37" ht="21.75" customHeight="1" x14ac:dyDescent="0.35">
      <c r="A143" s="18">
        <f t="shared" si="4"/>
        <v>139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</row>
    <row r="144" spans="1:37" ht="21.75" customHeight="1" x14ac:dyDescent="0.35">
      <c r="A144" s="20">
        <f t="shared" si="4"/>
        <v>140</v>
      </c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</row>
    <row r="145" spans="1:37" ht="21.75" customHeight="1" x14ac:dyDescent="0.35">
      <c r="A145" s="18">
        <f t="shared" si="4"/>
        <v>141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</row>
    <row r="146" spans="1:37" ht="21.75" customHeight="1" x14ac:dyDescent="0.35">
      <c r="A146" s="20">
        <f t="shared" si="4"/>
        <v>142</v>
      </c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</row>
    <row r="147" spans="1:37" ht="21.75" customHeight="1" x14ac:dyDescent="0.35">
      <c r="A147" s="18">
        <f t="shared" si="4"/>
        <v>143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</row>
    <row r="148" spans="1:37" ht="21.75" customHeight="1" x14ac:dyDescent="0.35">
      <c r="A148" s="20">
        <f t="shared" si="4"/>
        <v>144</v>
      </c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</row>
    <row r="149" spans="1:37" ht="21.75" customHeight="1" x14ac:dyDescent="0.35">
      <c r="A149" s="18">
        <f t="shared" si="4"/>
        <v>145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</row>
    <row r="150" spans="1:37" ht="21.75" customHeight="1" x14ac:dyDescent="0.35">
      <c r="A150" s="20">
        <f t="shared" si="4"/>
        <v>146</v>
      </c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</row>
    <row r="151" spans="1:37" ht="21.75" customHeight="1" x14ac:dyDescent="0.35">
      <c r="A151" s="18">
        <f t="shared" si="4"/>
        <v>147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</row>
    <row r="152" spans="1:37" ht="21.75" customHeight="1" x14ac:dyDescent="0.35">
      <c r="A152" s="20">
        <f t="shared" si="4"/>
        <v>148</v>
      </c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</row>
    <row r="153" spans="1:37" ht="21.75" customHeight="1" x14ac:dyDescent="0.35">
      <c r="A153" s="18">
        <f t="shared" si="4"/>
        <v>149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</row>
    <row r="154" spans="1:37" ht="21.75" customHeight="1" x14ac:dyDescent="0.35">
      <c r="A154" s="20">
        <f t="shared" si="4"/>
        <v>150</v>
      </c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</row>
    <row r="155" spans="1:37" ht="21.75" customHeight="1" x14ac:dyDescent="0.35">
      <c r="A155" s="18">
        <f t="shared" si="4"/>
        <v>151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</row>
    <row r="156" spans="1:37" ht="21.75" customHeight="1" x14ac:dyDescent="0.35">
      <c r="A156" s="20">
        <f t="shared" si="4"/>
        <v>152</v>
      </c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</row>
    <row r="157" spans="1:37" ht="21.75" customHeight="1" x14ac:dyDescent="0.35">
      <c r="A157" s="18">
        <f t="shared" si="4"/>
        <v>153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</row>
    <row r="158" spans="1:37" ht="21.75" customHeight="1" x14ac:dyDescent="0.35">
      <c r="A158" s="20">
        <f t="shared" si="4"/>
        <v>154</v>
      </c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</row>
    <row r="159" spans="1:37" ht="21.75" customHeight="1" x14ac:dyDescent="0.35">
      <c r="A159" s="18">
        <f t="shared" si="4"/>
        <v>155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</row>
    <row r="160" spans="1:37" ht="21.75" customHeight="1" x14ac:dyDescent="0.35">
      <c r="A160" s="20">
        <f t="shared" si="4"/>
        <v>156</v>
      </c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</row>
    <row r="161" spans="1:37" ht="21.75" customHeight="1" x14ac:dyDescent="0.35">
      <c r="A161" s="18">
        <f t="shared" si="4"/>
        <v>157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</row>
    <row r="162" spans="1:37" ht="21.75" customHeight="1" x14ac:dyDescent="0.35">
      <c r="A162" s="20">
        <f t="shared" si="4"/>
        <v>158</v>
      </c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</row>
    <row r="163" spans="1:37" ht="21.75" customHeight="1" x14ac:dyDescent="0.35">
      <c r="A163" s="18">
        <f t="shared" si="4"/>
        <v>159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</row>
    <row r="164" spans="1:37" ht="21.75" customHeight="1" x14ac:dyDescent="0.35">
      <c r="A164" s="20">
        <f t="shared" si="4"/>
        <v>160</v>
      </c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</row>
    <row r="165" spans="1:37" ht="21.75" customHeight="1" x14ac:dyDescent="0.35">
      <c r="A165" s="18">
        <f t="shared" ref="A165:A196" si="5">ROW()-4</f>
        <v>161</v>
      </c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</row>
    <row r="166" spans="1:37" ht="21.75" customHeight="1" x14ac:dyDescent="0.35">
      <c r="A166" s="20">
        <f t="shared" si="5"/>
        <v>162</v>
      </c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</row>
    <row r="167" spans="1:37" ht="21.75" customHeight="1" x14ac:dyDescent="0.35">
      <c r="A167" s="18">
        <f t="shared" si="5"/>
        <v>163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</row>
    <row r="168" spans="1:37" ht="21.75" customHeight="1" x14ac:dyDescent="0.35">
      <c r="A168" s="20">
        <f t="shared" si="5"/>
        <v>164</v>
      </c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</row>
    <row r="169" spans="1:37" ht="21.75" customHeight="1" x14ac:dyDescent="0.35">
      <c r="A169" s="18">
        <f t="shared" si="5"/>
        <v>165</v>
      </c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</row>
    <row r="170" spans="1:37" ht="21.75" customHeight="1" x14ac:dyDescent="0.35">
      <c r="A170" s="20">
        <f t="shared" si="5"/>
        <v>166</v>
      </c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</row>
    <row r="171" spans="1:37" ht="21.75" customHeight="1" x14ac:dyDescent="0.35">
      <c r="A171" s="18">
        <f t="shared" si="5"/>
        <v>167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</row>
    <row r="172" spans="1:37" ht="21.75" customHeight="1" x14ac:dyDescent="0.35">
      <c r="A172" s="20">
        <f t="shared" si="5"/>
        <v>168</v>
      </c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</row>
    <row r="173" spans="1:37" ht="21.75" customHeight="1" x14ac:dyDescent="0.35">
      <c r="A173" s="18">
        <f t="shared" si="5"/>
        <v>169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</row>
    <row r="174" spans="1:37" ht="21.75" customHeight="1" x14ac:dyDescent="0.35">
      <c r="A174" s="20">
        <f t="shared" si="5"/>
        <v>170</v>
      </c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</row>
    <row r="175" spans="1:37" ht="21.75" customHeight="1" x14ac:dyDescent="0.35">
      <c r="A175" s="18">
        <f t="shared" si="5"/>
        <v>171</v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</row>
    <row r="176" spans="1:37" ht="21.75" customHeight="1" x14ac:dyDescent="0.35">
      <c r="A176" s="20">
        <f t="shared" si="5"/>
        <v>172</v>
      </c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</row>
    <row r="177" spans="1:37" ht="21.75" customHeight="1" x14ac:dyDescent="0.35">
      <c r="A177" s="18">
        <f t="shared" si="5"/>
        <v>173</v>
      </c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</row>
    <row r="178" spans="1:37" ht="21.75" customHeight="1" x14ac:dyDescent="0.35">
      <c r="A178" s="20">
        <f t="shared" si="5"/>
        <v>174</v>
      </c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</row>
    <row r="179" spans="1:37" ht="21.75" customHeight="1" x14ac:dyDescent="0.35">
      <c r="A179" s="18">
        <f t="shared" si="5"/>
        <v>175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</row>
    <row r="180" spans="1:37" ht="21.75" customHeight="1" x14ac:dyDescent="0.35">
      <c r="A180" s="20">
        <f t="shared" si="5"/>
        <v>176</v>
      </c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</row>
    <row r="181" spans="1:37" ht="21.75" customHeight="1" x14ac:dyDescent="0.35">
      <c r="A181" s="18">
        <f t="shared" si="5"/>
        <v>177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</row>
    <row r="182" spans="1:37" ht="21.75" customHeight="1" x14ac:dyDescent="0.35">
      <c r="A182" s="20">
        <f t="shared" si="5"/>
        <v>178</v>
      </c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</row>
    <row r="183" spans="1:37" ht="21.75" customHeight="1" x14ac:dyDescent="0.35">
      <c r="A183" s="18">
        <f t="shared" si="5"/>
        <v>179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</row>
    <row r="184" spans="1:37" ht="21.75" customHeight="1" x14ac:dyDescent="0.35">
      <c r="A184" s="20">
        <f t="shared" si="5"/>
        <v>180</v>
      </c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</row>
    <row r="185" spans="1:37" ht="21.75" customHeight="1" x14ac:dyDescent="0.35">
      <c r="A185" s="18">
        <f t="shared" si="5"/>
        <v>181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</row>
    <row r="186" spans="1:37" ht="21.75" customHeight="1" x14ac:dyDescent="0.35">
      <c r="A186" s="20">
        <f t="shared" si="5"/>
        <v>182</v>
      </c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</row>
    <row r="187" spans="1:37" ht="21.75" customHeight="1" x14ac:dyDescent="0.35">
      <c r="A187" s="18">
        <f t="shared" si="5"/>
        <v>183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</row>
    <row r="188" spans="1:37" ht="21.75" customHeight="1" x14ac:dyDescent="0.35">
      <c r="A188" s="20">
        <f t="shared" si="5"/>
        <v>184</v>
      </c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</row>
    <row r="189" spans="1:37" ht="21.75" customHeight="1" x14ac:dyDescent="0.35">
      <c r="A189" s="18">
        <f t="shared" si="5"/>
        <v>185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</row>
    <row r="190" spans="1:37" ht="21.75" customHeight="1" x14ac:dyDescent="0.35">
      <c r="A190" s="20">
        <f t="shared" si="5"/>
        <v>186</v>
      </c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</row>
    <row r="191" spans="1:37" ht="21.75" customHeight="1" x14ac:dyDescent="0.35">
      <c r="A191" s="18">
        <f t="shared" si="5"/>
        <v>187</v>
      </c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</row>
    <row r="192" spans="1:37" ht="21.75" customHeight="1" x14ac:dyDescent="0.35">
      <c r="A192" s="20">
        <f t="shared" si="5"/>
        <v>188</v>
      </c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</row>
    <row r="193" spans="1:37" ht="21.75" customHeight="1" x14ac:dyDescent="0.35">
      <c r="A193" s="18">
        <f t="shared" si="5"/>
        <v>189</v>
      </c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</row>
    <row r="194" spans="1:37" ht="21.75" customHeight="1" x14ac:dyDescent="0.35">
      <c r="A194" s="20">
        <f t="shared" si="5"/>
        <v>190</v>
      </c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</row>
    <row r="195" spans="1:37" ht="21.75" customHeight="1" x14ac:dyDescent="0.35">
      <c r="A195" s="18">
        <f t="shared" si="5"/>
        <v>191</v>
      </c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</row>
    <row r="196" spans="1:37" ht="21.75" customHeight="1" x14ac:dyDescent="0.35">
      <c r="A196" s="20">
        <f t="shared" si="5"/>
        <v>192</v>
      </c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</row>
    <row r="197" spans="1:37" ht="21.75" customHeight="1" x14ac:dyDescent="0.35">
      <c r="A197" s="18">
        <f t="shared" ref="A197:A204" si="6">ROW()-4</f>
        <v>193</v>
      </c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</row>
    <row r="198" spans="1:37" ht="21.75" customHeight="1" x14ac:dyDescent="0.35">
      <c r="A198" s="20">
        <f t="shared" si="6"/>
        <v>194</v>
      </c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</row>
    <row r="199" spans="1:37" ht="21.75" customHeight="1" x14ac:dyDescent="0.35">
      <c r="A199" s="18">
        <f t="shared" si="6"/>
        <v>195</v>
      </c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</row>
    <row r="200" spans="1:37" ht="21.75" customHeight="1" x14ac:dyDescent="0.35">
      <c r="A200" s="20">
        <f t="shared" si="6"/>
        <v>196</v>
      </c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</row>
    <row r="201" spans="1:37" ht="21.75" customHeight="1" x14ac:dyDescent="0.35">
      <c r="A201" s="18">
        <f t="shared" si="6"/>
        <v>197</v>
      </c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</row>
    <row r="202" spans="1:37" ht="21.75" customHeight="1" x14ac:dyDescent="0.35">
      <c r="A202" s="20">
        <f t="shared" si="6"/>
        <v>198</v>
      </c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</row>
    <row r="203" spans="1:37" ht="21.75" customHeight="1" x14ac:dyDescent="0.35">
      <c r="A203" s="18">
        <f t="shared" si="6"/>
        <v>199</v>
      </c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</row>
    <row r="204" spans="1:37" ht="21.75" customHeight="1" x14ac:dyDescent="0.35">
      <c r="A204" s="20">
        <f t="shared" si="6"/>
        <v>200</v>
      </c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</row>
  </sheetData>
  <autoFilter ref="A4:AK4" xr:uid="{00000000-0009-0000-0000-000001000000}"/>
  <mergeCells count="8">
    <mergeCell ref="A1:AK1"/>
    <mergeCell ref="A2:AK2"/>
    <mergeCell ref="A3:H3"/>
    <mergeCell ref="I3:O3"/>
    <mergeCell ref="P3:U3"/>
    <mergeCell ref="V3:AA3"/>
    <mergeCell ref="AB3:AF3"/>
    <mergeCell ref="AH3:AK3"/>
  </mergeCells>
  <dataValidations count="7">
    <dataValidation type="list" showErrorMessage="1" sqref="D5:D1004" xr:uid="{00000000-0002-0000-0100-000000000000}">
      <formula1>"Mr.,Mrs.,Ms.,Dr.,Prof.,Master"</formula1>
      <formula2>0</formula2>
    </dataValidation>
    <dataValidation type="list" showErrorMessage="1" sqref="U5:U1004" xr:uid="{00000000-0002-0000-0100-000001000000}">
      <formula1>"L,B,C,G,Ci,N/A,Tourist,Other"</formula1>
      <formula2>0</formula2>
    </dataValidation>
    <dataValidation type="list" showErrorMessage="1" sqref="AF5:AG1004" xr:uid="{00000000-0002-0000-0100-000002000000}">
      <formula1>"Business,Leisure,Relocation,Medical,Other"</formula1>
      <formula2>0</formula2>
    </dataValidation>
    <dataValidation type="list" showErrorMessage="1" sqref="AH5:AI1004" xr:uid="{00000000-0002-0000-0100-000003000000}">
      <formula1>"Booker,Guest,Corporate,VIP,Agent"</formula1>
      <formula2>0</formula2>
    </dataValidation>
    <dataValidation type="list" showErrorMessage="1" sqref="O5:O1004" xr:uid="{00000000-0002-0000-0100-000004000000}">
      <formula1>"Email,WhatsApp,Phone,SMS"</formula1>
      <formula2>0</formula2>
    </dataValidation>
    <dataValidation type="list" showErrorMessage="1" sqref="N5:N1004" xr:uid="{00000000-0002-0000-0100-000005000000}">
      <formula1>"English,German,Hindi,French,Italian,Spanish,Japanese,Other"</formula1>
      <formula2>0</formula2>
    </dataValidation>
    <dataValidation type="list" showErrorMessage="1" sqref="S5:S1004" xr:uid="{00000000-0002-0000-0100-000006000000}">
      <formula1>"ZH,BE,LU,UR,SZ,OW,NW,GL,ZG,FR,SO,BS,BL,SH,AR,AI,SG,GR,AG,TG,TI,VD,VS,NE,GE,JU"</formula1>
      <formula2>0</formula2>
    </dataValidation>
  </dataValidations>
  <pageMargins left="0.75" right="0.75" top="1" bottom="1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17A65"/>
  </sheetPr>
  <dimension ref="A1:L14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1:B1048576"/>
    </sheetView>
  </sheetViews>
  <sheetFormatPr defaultColWidth="8.6328125" defaultRowHeight="14.5" x14ac:dyDescent="0.35"/>
  <cols>
    <col min="1" max="1" width="6" customWidth="1"/>
    <col min="2" max="2" width="34" customWidth="1"/>
    <col min="3" max="3" width="32" customWidth="1"/>
    <col min="4" max="4" width="14" customWidth="1"/>
    <col min="5" max="7" width="8" customWidth="1"/>
    <col min="8" max="8" width="10" customWidth="1"/>
    <col min="9" max="9" width="14" customWidth="1"/>
    <col min="10" max="10" width="12" customWidth="1"/>
    <col min="11" max="11" width="14" customWidth="1"/>
    <col min="12" max="12" width="8" customWidth="1"/>
  </cols>
  <sheetData>
    <row r="1" spans="1:12" ht="31.5" customHeight="1" x14ac:dyDescent="0.35">
      <c r="A1" s="38" t="s">
        <v>83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15" customHeight="1" x14ac:dyDescent="0.35">
      <c r="A2" s="48" t="s">
        <v>84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42" customHeight="1" x14ac:dyDescent="0.35">
      <c r="A3" s="22" t="s">
        <v>49</v>
      </c>
      <c r="B3" s="22" t="s">
        <v>85</v>
      </c>
      <c r="C3" s="22" t="s">
        <v>86</v>
      </c>
      <c r="D3" s="22" t="s">
        <v>87</v>
      </c>
      <c r="E3" s="22" t="s">
        <v>88</v>
      </c>
      <c r="F3" s="22" t="s">
        <v>89</v>
      </c>
      <c r="G3" s="22" t="s">
        <v>90</v>
      </c>
      <c r="H3" s="22" t="s">
        <v>91</v>
      </c>
      <c r="I3" s="22" t="s">
        <v>92</v>
      </c>
      <c r="J3" s="22" t="s">
        <v>93</v>
      </c>
      <c r="K3" s="22" t="s">
        <v>94</v>
      </c>
      <c r="L3" s="22" t="s">
        <v>67</v>
      </c>
    </row>
    <row r="4" spans="1:12" ht="19.5" customHeight="1" x14ac:dyDescent="0.35">
      <c r="A4" s="20">
        <v>1</v>
      </c>
      <c r="B4" s="23" t="s">
        <v>95</v>
      </c>
      <c r="C4" s="21" t="s">
        <v>96</v>
      </c>
      <c r="D4" s="21" t="s">
        <v>97</v>
      </c>
      <c r="E4" s="21">
        <v>8050</v>
      </c>
      <c r="F4" s="21">
        <v>1.5</v>
      </c>
      <c r="G4" s="21">
        <v>40</v>
      </c>
      <c r="H4" s="21" t="s">
        <v>98</v>
      </c>
      <c r="I4" s="21" t="s">
        <v>99</v>
      </c>
    </row>
    <row r="5" spans="1:12" ht="19.5" customHeight="1" x14ac:dyDescent="0.35">
      <c r="A5" s="18">
        <v>2</v>
      </c>
      <c r="B5" s="24" t="s">
        <v>100</v>
      </c>
      <c r="C5" s="19" t="s">
        <v>101</v>
      </c>
      <c r="D5" s="19" t="s">
        <v>102</v>
      </c>
      <c r="E5" s="19">
        <v>8304</v>
      </c>
      <c r="F5" s="19">
        <v>1.5</v>
      </c>
      <c r="G5" s="19">
        <v>35</v>
      </c>
      <c r="H5" s="19" t="s">
        <v>98</v>
      </c>
      <c r="I5" s="19" t="s">
        <v>103</v>
      </c>
    </row>
    <row r="6" spans="1:12" ht="19.5" customHeight="1" x14ac:dyDescent="0.35">
      <c r="A6" s="20">
        <v>3</v>
      </c>
      <c r="B6" s="23" t="s">
        <v>104</v>
      </c>
      <c r="C6" s="21" t="s">
        <v>101</v>
      </c>
      <c r="D6" s="21" t="s">
        <v>102</v>
      </c>
      <c r="E6" s="21">
        <v>8304</v>
      </c>
      <c r="F6" s="21">
        <v>1.5</v>
      </c>
      <c r="G6" s="21">
        <v>45</v>
      </c>
      <c r="H6" s="21" t="s">
        <v>98</v>
      </c>
      <c r="I6" s="21" t="s">
        <v>103</v>
      </c>
    </row>
    <row r="7" spans="1:12" ht="19.5" customHeight="1" x14ac:dyDescent="0.35">
      <c r="A7" s="18">
        <v>4</v>
      </c>
      <c r="B7" s="24" t="s">
        <v>105</v>
      </c>
      <c r="C7" s="19" t="s">
        <v>106</v>
      </c>
      <c r="D7" s="19" t="s">
        <v>107</v>
      </c>
      <c r="E7" s="19">
        <v>8953</v>
      </c>
      <c r="F7" s="19">
        <v>2.5</v>
      </c>
      <c r="G7" s="19">
        <v>50</v>
      </c>
      <c r="H7" s="19" t="s">
        <v>98</v>
      </c>
      <c r="I7" s="19" t="s">
        <v>103</v>
      </c>
    </row>
    <row r="8" spans="1:12" ht="19.5" customHeight="1" x14ac:dyDescent="0.35">
      <c r="A8" s="20">
        <v>5</v>
      </c>
      <c r="B8" s="23" t="s">
        <v>108</v>
      </c>
      <c r="C8" s="21" t="s">
        <v>109</v>
      </c>
      <c r="D8" s="21" t="s">
        <v>110</v>
      </c>
      <c r="E8" s="21">
        <v>8134</v>
      </c>
      <c r="F8" s="21">
        <v>3.5</v>
      </c>
      <c r="G8" s="21">
        <v>65</v>
      </c>
      <c r="H8" s="21" t="s">
        <v>98</v>
      </c>
      <c r="I8" s="21" t="s">
        <v>103</v>
      </c>
    </row>
    <row r="9" spans="1:12" ht="19.5" customHeight="1" x14ac:dyDescent="0.35">
      <c r="A9" s="18">
        <v>6</v>
      </c>
      <c r="B9" s="24" t="s">
        <v>111</v>
      </c>
      <c r="C9" s="19" t="s">
        <v>112</v>
      </c>
      <c r="D9" s="19" t="s">
        <v>110</v>
      </c>
      <c r="E9" s="19">
        <v>8134</v>
      </c>
      <c r="F9" s="19">
        <v>2.5</v>
      </c>
      <c r="G9" s="19">
        <v>50</v>
      </c>
      <c r="H9" s="19" t="s">
        <v>98</v>
      </c>
      <c r="I9" s="19" t="s">
        <v>103</v>
      </c>
    </row>
    <row r="10" spans="1:12" ht="19.5" customHeight="1" x14ac:dyDescent="0.35">
      <c r="A10" s="20">
        <v>7</v>
      </c>
      <c r="B10" s="23" t="s">
        <v>113</v>
      </c>
      <c r="C10" s="21" t="s">
        <v>114</v>
      </c>
      <c r="D10" s="21" t="s">
        <v>97</v>
      </c>
      <c r="E10" s="21">
        <v>8051</v>
      </c>
      <c r="F10" s="21">
        <v>2.5</v>
      </c>
      <c r="G10" s="21">
        <v>60</v>
      </c>
      <c r="H10" s="21" t="s">
        <v>98</v>
      </c>
      <c r="I10" s="21" t="s">
        <v>103</v>
      </c>
    </row>
    <row r="11" spans="1:12" ht="19.5" customHeight="1" x14ac:dyDescent="0.35">
      <c r="A11" s="18">
        <v>8</v>
      </c>
      <c r="B11" s="24" t="s">
        <v>115</v>
      </c>
      <c r="C11" s="19" t="s">
        <v>116</v>
      </c>
      <c r="D11" s="19" t="s">
        <v>117</v>
      </c>
      <c r="E11" s="19">
        <v>8153</v>
      </c>
      <c r="F11" s="19">
        <v>2.5</v>
      </c>
      <c r="G11" s="19">
        <v>60</v>
      </c>
      <c r="H11" s="19" t="s">
        <v>118</v>
      </c>
      <c r="I11" s="19" t="s">
        <v>103</v>
      </c>
    </row>
    <row r="12" spans="1:12" ht="19.5" customHeight="1" x14ac:dyDescent="0.35">
      <c r="A12" s="20">
        <v>9</v>
      </c>
      <c r="B12" s="23" t="s">
        <v>119</v>
      </c>
      <c r="C12" s="21" t="s">
        <v>120</v>
      </c>
      <c r="D12" s="21" t="s">
        <v>97</v>
      </c>
      <c r="E12" s="21">
        <v>8045</v>
      </c>
      <c r="F12" s="21">
        <v>3.5</v>
      </c>
      <c r="G12" s="21">
        <v>80</v>
      </c>
      <c r="H12" s="21" t="s">
        <v>98</v>
      </c>
      <c r="I12" s="21" t="s">
        <v>103</v>
      </c>
    </row>
    <row r="13" spans="1:12" ht="19.5" customHeight="1" x14ac:dyDescent="0.35">
      <c r="A13" s="18">
        <v>10</v>
      </c>
      <c r="B13" s="24" t="s">
        <v>121</v>
      </c>
      <c r="C13" s="19" t="s">
        <v>122</v>
      </c>
      <c r="D13" s="19" t="s">
        <v>97</v>
      </c>
      <c r="E13" s="19">
        <v>8045</v>
      </c>
      <c r="F13" s="19">
        <v>3.5</v>
      </c>
      <c r="G13" s="19">
        <v>80</v>
      </c>
      <c r="H13" s="19" t="s">
        <v>98</v>
      </c>
      <c r="I13" s="19" t="s">
        <v>103</v>
      </c>
    </row>
    <row r="14" spans="1:12" ht="19.5" customHeight="1" x14ac:dyDescent="0.35">
      <c r="A14" s="20">
        <v>11</v>
      </c>
      <c r="B14" s="23" t="s">
        <v>123</v>
      </c>
      <c r="C14" s="21" t="s">
        <v>124</v>
      </c>
      <c r="D14" s="21" t="s">
        <v>97</v>
      </c>
      <c r="E14" s="21">
        <v>8045</v>
      </c>
      <c r="F14" s="21">
        <v>3.5</v>
      </c>
      <c r="G14" s="21">
        <v>80</v>
      </c>
      <c r="H14" s="21" t="s">
        <v>98</v>
      </c>
      <c r="I14" s="21" t="s">
        <v>103</v>
      </c>
    </row>
    <row r="15" spans="1:12" ht="19.5" customHeight="1" x14ac:dyDescent="0.35">
      <c r="A15" s="18">
        <v>12</v>
      </c>
      <c r="B15" s="24" t="s">
        <v>125</v>
      </c>
      <c r="C15" s="19" t="s">
        <v>126</v>
      </c>
      <c r="D15" s="19" t="s">
        <v>97</v>
      </c>
      <c r="E15" s="19">
        <v>8045</v>
      </c>
      <c r="F15" s="19">
        <v>3.5</v>
      </c>
      <c r="G15" s="19">
        <v>80</v>
      </c>
      <c r="H15" s="19" t="s">
        <v>98</v>
      </c>
      <c r="I15" s="19" t="s">
        <v>103</v>
      </c>
    </row>
    <row r="16" spans="1:12" ht="19.5" customHeight="1" x14ac:dyDescent="0.35">
      <c r="A16" s="20">
        <v>13</v>
      </c>
      <c r="B16" s="23" t="s">
        <v>127</v>
      </c>
      <c r="C16" s="21" t="s">
        <v>128</v>
      </c>
      <c r="D16" s="21" t="s">
        <v>129</v>
      </c>
      <c r="E16" s="21">
        <v>8154</v>
      </c>
      <c r="F16" s="21">
        <v>4.5</v>
      </c>
      <c r="G16" s="21">
        <v>85</v>
      </c>
      <c r="H16" s="21" t="s">
        <v>98</v>
      </c>
      <c r="I16" s="21" t="s">
        <v>103</v>
      </c>
    </row>
    <row r="17" spans="1:9" ht="19.5" customHeight="1" x14ac:dyDescent="0.35">
      <c r="A17" s="18">
        <v>14</v>
      </c>
      <c r="B17" s="24" t="s">
        <v>130</v>
      </c>
      <c r="C17" s="19" t="s">
        <v>131</v>
      </c>
      <c r="D17" s="19" t="s">
        <v>132</v>
      </c>
      <c r="E17" s="19">
        <v>8600</v>
      </c>
      <c r="F17" s="19">
        <v>3.5</v>
      </c>
      <c r="G17" s="19">
        <v>70</v>
      </c>
      <c r="H17" s="19" t="s">
        <v>98</v>
      </c>
      <c r="I17" s="19" t="s">
        <v>103</v>
      </c>
    </row>
    <row r="18" spans="1:9" ht="19.5" customHeight="1" x14ac:dyDescent="0.35">
      <c r="A18" s="20">
        <v>15</v>
      </c>
      <c r="B18" s="23" t="s">
        <v>133</v>
      </c>
      <c r="C18" s="21" t="s">
        <v>134</v>
      </c>
      <c r="D18" s="21" t="s">
        <v>135</v>
      </c>
      <c r="E18" s="21">
        <v>3073</v>
      </c>
      <c r="F18" s="21">
        <v>3.5</v>
      </c>
      <c r="G18" s="21">
        <v>1250</v>
      </c>
      <c r="H18" s="21" t="s">
        <v>98</v>
      </c>
      <c r="I18" s="21" t="s">
        <v>136</v>
      </c>
    </row>
    <row r="19" spans="1:9" ht="19.5" customHeight="1" x14ac:dyDescent="0.35">
      <c r="A19" s="18">
        <v>16</v>
      </c>
      <c r="B19" s="24" t="s">
        <v>137</v>
      </c>
      <c r="C19" s="19" t="s">
        <v>134</v>
      </c>
      <c r="D19" s="19" t="s">
        <v>135</v>
      </c>
      <c r="E19" s="19">
        <v>3073</v>
      </c>
      <c r="F19" s="19">
        <v>3.5</v>
      </c>
      <c r="G19" s="19">
        <v>1250</v>
      </c>
      <c r="H19" s="19" t="s">
        <v>98</v>
      </c>
      <c r="I19" s="19" t="s">
        <v>136</v>
      </c>
    </row>
    <row r="20" spans="1:9" ht="19.5" customHeight="1" x14ac:dyDescent="0.35">
      <c r="A20" s="20">
        <v>17</v>
      </c>
      <c r="B20" s="23" t="s">
        <v>138</v>
      </c>
      <c r="C20" s="21" t="s">
        <v>134</v>
      </c>
      <c r="D20" s="21" t="s">
        <v>135</v>
      </c>
      <c r="E20" s="21">
        <v>3073</v>
      </c>
      <c r="F20" s="21">
        <v>3.5</v>
      </c>
      <c r="G20" s="21"/>
      <c r="H20" s="21" t="s">
        <v>98</v>
      </c>
      <c r="I20" s="21" t="s">
        <v>136</v>
      </c>
    </row>
    <row r="21" spans="1:9" ht="19.5" customHeight="1" x14ac:dyDescent="0.35">
      <c r="A21" s="18">
        <v>18</v>
      </c>
      <c r="B21" s="24" t="s">
        <v>139</v>
      </c>
      <c r="C21" s="19" t="s">
        <v>140</v>
      </c>
      <c r="D21" s="19" t="s">
        <v>102</v>
      </c>
      <c r="E21" s="19">
        <v>8304</v>
      </c>
      <c r="F21" s="19">
        <v>4.5</v>
      </c>
      <c r="G21" s="19">
        <v>80</v>
      </c>
      <c r="H21" s="19" t="s">
        <v>98</v>
      </c>
      <c r="I21" s="19" t="s">
        <v>103</v>
      </c>
    </row>
    <row r="22" spans="1:9" ht="19.5" customHeight="1" x14ac:dyDescent="0.35">
      <c r="A22" s="20">
        <v>19</v>
      </c>
      <c r="B22" s="23" t="s">
        <v>141</v>
      </c>
      <c r="C22" s="21" t="s">
        <v>142</v>
      </c>
      <c r="D22" s="21" t="s">
        <v>102</v>
      </c>
      <c r="E22" s="21">
        <v>8304</v>
      </c>
      <c r="F22" s="21">
        <v>4.5</v>
      </c>
      <c r="G22" s="21">
        <v>95</v>
      </c>
      <c r="H22" s="21" t="s">
        <v>98</v>
      </c>
      <c r="I22" s="21" t="s">
        <v>103</v>
      </c>
    </row>
    <row r="23" spans="1:9" ht="19.5" customHeight="1" x14ac:dyDescent="0.35">
      <c r="A23" s="18">
        <v>20</v>
      </c>
      <c r="B23" s="24" t="s">
        <v>143</v>
      </c>
      <c r="C23" s="19" t="s">
        <v>144</v>
      </c>
      <c r="D23" s="19" t="s">
        <v>145</v>
      </c>
      <c r="E23" s="19">
        <v>4052</v>
      </c>
      <c r="F23" s="19">
        <v>2.5</v>
      </c>
      <c r="G23" s="19">
        <v>60</v>
      </c>
      <c r="H23" s="19" t="s">
        <v>98</v>
      </c>
      <c r="I23" s="19" t="s">
        <v>103</v>
      </c>
    </row>
    <row r="24" spans="1:9" ht="19.5" customHeight="1" x14ac:dyDescent="0.35">
      <c r="A24" s="20">
        <v>21</v>
      </c>
      <c r="B24" s="23" t="s">
        <v>146</v>
      </c>
      <c r="C24" s="21" t="s">
        <v>147</v>
      </c>
      <c r="D24" s="21" t="s">
        <v>97</v>
      </c>
      <c r="E24" s="21">
        <v>8051</v>
      </c>
      <c r="F24" s="21">
        <v>3.5</v>
      </c>
      <c r="G24" s="21">
        <v>70</v>
      </c>
      <c r="H24" s="21" t="s">
        <v>98</v>
      </c>
      <c r="I24" s="21" t="s">
        <v>103</v>
      </c>
    </row>
    <row r="25" spans="1:9" ht="19.5" customHeight="1" x14ac:dyDescent="0.35">
      <c r="A25" s="18">
        <v>22</v>
      </c>
      <c r="B25" s="24" t="s">
        <v>148</v>
      </c>
      <c r="C25" s="19" t="s">
        <v>149</v>
      </c>
      <c r="D25" s="19" t="s">
        <v>97</v>
      </c>
      <c r="E25" s="19">
        <v>8051</v>
      </c>
      <c r="F25" s="19">
        <v>2.5</v>
      </c>
      <c r="G25" s="19"/>
      <c r="H25" s="19" t="s">
        <v>98</v>
      </c>
      <c r="I25" s="19" t="s">
        <v>136</v>
      </c>
    </row>
    <row r="26" spans="1:9" ht="19.5" customHeight="1" x14ac:dyDescent="0.35">
      <c r="A26" s="20">
        <v>23</v>
      </c>
      <c r="B26" s="23" t="s">
        <v>150</v>
      </c>
      <c r="C26" s="21" t="s">
        <v>151</v>
      </c>
      <c r="D26" s="21" t="s">
        <v>97</v>
      </c>
      <c r="E26" s="21">
        <v>8045</v>
      </c>
      <c r="F26" s="21">
        <v>3.5</v>
      </c>
      <c r="G26" s="21">
        <v>80</v>
      </c>
      <c r="H26" s="21" t="s">
        <v>98</v>
      </c>
      <c r="I26" s="21" t="s">
        <v>103</v>
      </c>
    </row>
    <row r="27" spans="1:9" ht="19.5" customHeight="1" x14ac:dyDescent="0.35">
      <c r="A27" s="18">
        <v>24</v>
      </c>
      <c r="B27" s="24" t="s">
        <v>152</v>
      </c>
      <c r="C27" s="19" t="s">
        <v>153</v>
      </c>
      <c r="D27" s="19" t="s">
        <v>132</v>
      </c>
      <c r="E27" s="19">
        <v>8600</v>
      </c>
      <c r="F27" s="19">
        <v>3.5</v>
      </c>
      <c r="G27" s="19">
        <v>97.1</v>
      </c>
      <c r="H27" s="19" t="s">
        <v>98</v>
      </c>
      <c r="I27" s="19" t="s">
        <v>103</v>
      </c>
    </row>
    <row r="28" spans="1:9" ht="19.5" customHeight="1" x14ac:dyDescent="0.35">
      <c r="A28" s="20">
        <v>25</v>
      </c>
      <c r="B28" s="23" t="s">
        <v>154</v>
      </c>
      <c r="C28" s="21" t="s">
        <v>153</v>
      </c>
      <c r="D28" s="21" t="s">
        <v>132</v>
      </c>
      <c r="E28" s="21">
        <v>8600</v>
      </c>
      <c r="F28" s="21">
        <v>1</v>
      </c>
      <c r="G28" s="21">
        <v>36</v>
      </c>
      <c r="H28" s="21" t="s">
        <v>98</v>
      </c>
      <c r="I28" s="21" t="s">
        <v>103</v>
      </c>
    </row>
    <row r="29" spans="1:9" ht="19.5" customHeight="1" x14ac:dyDescent="0.35">
      <c r="A29" s="18">
        <v>26</v>
      </c>
      <c r="B29" s="24" t="s">
        <v>155</v>
      </c>
      <c r="C29" s="19" t="s">
        <v>156</v>
      </c>
      <c r="D29" s="19" t="s">
        <v>132</v>
      </c>
      <c r="E29" s="19">
        <v>8600</v>
      </c>
      <c r="F29" s="19">
        <v>2.5</v>
      </c>
      <c r="G29" s="19">
        <v>53.7</v>
      </c>
      <c r="H29" s="19" t="s">
        <v>98</v>
      </c>
      <c r="I29" s="19" t="s">
        <v>103</v>
      </c>
    </row>
    <row r="30" spans="1:9" ht="19.5" customHeight="1" x14ac:dyDescent="0.35">
      <c r="A30" s="20">
        <v>27</v>
      </c>
      <c r="B30" s="23" t="s">
        <v>157</v>
      </c>
      <c r="C30" s="21" t="s">
        <v>156</v>
      </c>
      <c r="D30" s="21" t="s">
        <v>132</v>
      </c>
      <c r="E30" s="21">
        <v>8600</v>
      </c>
      <c r="F30" s="21">
        <v>2.5</v>
      </c>
      <c r="G30" s="21">
        <v>53.7</v>
      </c>
      <c r="H30" s="21" t="s">
        <v>98</v>
      </c>
      <c r="I30" s="21" t="s">
        <v>103</v>
      </c>
    </row>
    <row r="31" spans="1:9" ht="19.5" customHeight="1" x14ac:dyDescent="0.35">
      <c r="A31" s="18">
        <v>28</v>
      </c>
      <c r="B31" s="24" t="s">
        <v>158</v>
      </c>
      <c r="C31" s="19" t="s">
        <v>156</v>
      </c>
      <c r="D31" s="19" t="s">
        <v>132</v>
      </c>
      <c r="E31" s="19">
        <v>8600</v>
      </c>
      <c r="F31" s="19">
        <v>2.5</v>
      </c>
      <c r="G31" s="19">
        <v>53.7</v>
      </c>
      <c r="H31" s="19" t="s">
        <v>98</v>
      </c>
      <c r="I31" s="19" t="s">
        <v>103</v>
      </c>
    </row>
    <row r="32" spans="1:9" ht="19.5" customHeight="1" x14ac:dyDescent="0.35">
      <c r="A32" s="20">
        <v>29</v>
      </c>
      <c r="B32" s="23" t="s">
        <v>159</v>
      </c>
      <c r="C32" s="21" t="s">
        <v>156</v>
      </c>
      <c r="D32" s="21" t="s">
        <v>132</v>
      </c>
      <c r="E32" s="21">
        <v>8600</v>
      </c>
      <c r="F32" s="21">
        <v>2.5</v>
      </c>
      <c r="G32" s="21"/>
      <c r="H32" s="21" t="s">
        <v>98</v>
      </c>
      <c r="I32" s="21" t="s">
        <v>103</v>
      </c>
    </row>
    <row r="33" spans="1:9" ht="19.5" customHeight="1" x14ac:dyDescent="0.35">
      <c r="A33" s="18">
        <v>30</v>
      </c>
      <c r="B33" s="24" t="s">
        <v>160</v>
      </c>
      <c r="C33" s="19" t="s">
        <v>161</v>
      </c>
      <c r="D33" s="19" t="s">
        <v>132</v>
      </c>
      <c r="E33" s="19">
        <v>8600</v>
      </c>
      <c r="F33" s="19">
        <v>2.5</v>
      </c>
      <c r="G33" s="19">
        <v>53.7</v>
      </c>
      <c r="H33" s="19" t="s">
        <v>98</v>
      </c>
      <c r="I33" s="19" t="s">
        <v>103</v>
      </c>
    </row>
    <row r="34" spans="1:9" ht="19.5" customHeight="1" x14ac:dyDescent="0.35">
      <c r="A34" s="20">
        <v>31</v>
      </c>
      <c r="B34" s="23" t="s">
        <v>162</v>
      </c>
      <c r="C34" s="21" t="s">
        <v>161</v>
      </c>
      <c r="D34" s="21" t="s">
        <v>132</v>
      </c>
      <c r="E34" s="21">
        <v>8600</v>
      </c>
      <c r="F34" s="21">
        <v>2.5</v>
      </c>
      <c r="G34" s="21">
        <v>53.7</v>
      </c>
      <c r="H34" s="21" t="s">
        <v>98</v>
      </c>
      <c r="I34" s="21" t="s">
        <v>103</v>
      </c>
    </row>
    <row r="35" spans="1:9" ht="19.5" customHeight="1" x14ac:dyDescent="0.35">
      <c r="A35" s="18">
        <v>32</v>
      </c>
      <c r="B35" s="24" t="s">
        <v>163</v>
      </c>
      <c r="C35" s="19" t="s">
        <v>164</v>
      </c>
      <c r="D35" s="19" t="s">
        <v>102</v>
      </c>
      <c r="E35" s="19">
        <v>8304</v>
      </c>
      <c r="F35" s="19">
        <v>1</v>
      </c>
      <c r="G35" s="19">
        <v>16</v>
      </c>
      <c r="H35" s="19" t="s">
        <v>98</v>
      </c>
      <c r="I35" s="19" t="s">
        <v>103</v>
      </c>
    </row>
    <row r="36" spans="1:9" ht="19.5" customHeight="1" x14ac:dyDescent="0.35">
      <c r="A36" s="20">
        <v>33</v>
      </c>
      <c r="B36" s="23" t="s">
        <v>165</v>
      </c>
      <c r="C36" s="21" t="s">
        <v>166</v>
      </c>
      <c r="D36" s="21" t="s">
        <v>102</v>
      </c>
      <c r="E36" s="21">
        <v>8304</v>
      </c>
      <c r="F36" s="21">
        <v>2.5</v>
      </c>
      <c r="G36" s="21">
        <v>70</v>
      </c>
      <c r="H36" s="21" t="s">
        <v>98</v>
      </c>
      <c r="I36" s="21" t="s">
        <v>103</v>
      </c>
    </row>
    <row r="37" spans="1:9" ht="19.5" customHeight="1" x14ac:dyDescent="0.35">
      <c r="A37" s="18">
        <v>34</v>
      </c>
      <c r="B37" s="24" t="s">
        <v>167</v>
      </c>
      <c r="C37" s="19" t="s">
        <v>168</v>
      </c>
      <c r="D37" s="19" t="s">
        <v>102</v>
      </c>
      <c r="E37" s="19">
        <v>8304</v>
      </c>
      <c r="F37" s="19">
        <v>3.5</v>
      </c>
      <c r="G37" s="19">
        <v>70</v>
      </c>
      <c r="H37" s="19" t="s">
        <v>98</v>
      </c>
      <c r="I37" s="19" t="s">
        <v>103</v>
      </c>
    </row>
    <row r="38" spans="1:9" ht="19.5" customHeight="1" x14ac:dyDescent="0.35">
      <c r="A38" s="20">
        <v>35</v>
      </c>
      <c r="B38" s="23" t="s">
        <v>169</v>
      </c>
      <c r="C38" s="21" t="s">
        <v>170</v>
      </c>
      <c r="D38" s="21" t="s">
        <v>145</v>
      </c>
      <c r="E38" s="21">
        <v>4058</v>
      </c>
      <c r="F38" s="21">
        <v>2.5</v>
      </c>
      <c r="G38" s="21">
        <v>55</v>
      </c>
      <c r="H38" s="21" t="s">
        <v>98</v>
      </c>
      <c r="I38" s="21" t="s">
        <v>103</v>
      </c>
    </row>
    <row r="39" spans="1:9" ht="19.5" customHeight="1" x14ac:dyDescent="0.35">
      <c r="A39" s="18">
        <v>36</v>
      </c>
      <c r="B39" s="24" t="s">
        <v>171</v>
      </c>
      <c r="C39" s="19" t="s">
        <v>170</v>
      </c>
      <c r="D39" s="19" t="s">
        <v>145</v>
      </c>
      <c r="E39" s="19">
        <v>4058</v>
      </c>
      <c r="F39" s="19">
        <v>2.5</v>
      </c>
      <c r="G39" s="19">
        <v>55</v>
      </c>
      <c r="H39" s="19" t="s">
        <v>98</v>
      </c>
      <c r="I39" s="19" t="s">
        <v>103</v>
      </c>
    </row>
    <row r="40" spans="1:9" ht="19.5" customHeight="1" x14ac:dyDescent="0.35">
      <c r="A40" s="20">
        <v>37</v>
      </c>
      <c r="B40" s="23" t="s">
        <v>172</v>
      </c>
      <c r="C40" s="21" t="s">
        <v>173</v>
      </c>
      <c r="D40" s="21" t="s">
        <v>145</v>
      </c>
      <c r="E40" s="21">
        <v>4058</v>
      </c>
      <c r="F40" s="21">
        <v>3.5</v>
      </c>
      <c r="G40" s="21">
        <v>60</v>
      </c>
      <c r="H40" s="21" t="s">
        <v>98</v>
      </c>
      <c r="I40" s="21" t="s">
        <v>103</v>
      </c>
    </row>
    <row r="41" spans="1:9" ht="19.5" customHeight="1" x14ac:dyDescent="0.35">
      <c r="A41" s="18">
        <v>38</v>
      </c>
      <c r="B41" s="24" t="s">
        <v>174</v>
      </c>
      <c r="C41" s="19" t="s">
        <v>175</v>
      </c>
      <c r="D41" s="19" t="s">
        <v>176</v>
      </c>
      <c r="E41" s="19">
        <v>6300</v>
      </c>
      <c r="F41" s="19">
        <v>3.5</v>
      </c>
      <c r="G41" s="19"/>
      <c r="H41" s="19" t="s">
        <v>98</v>
      </c>
      <c r="I41" s="19" t="s">
        <v>136</v>
      </c>
    </row>
    <row r="42" spans="1:9" ht="19.5" customHeight="1" x14ac:dyDescent="0.35">
      <c r="A42" s="20">
        <v>39</v>
      </c>
      <c r="B42" s="23" t="s">
        <v>177</v>
      </c>
      <c r="C42" s="21" t="s">
        <v>178</v>
      </c>
      <c r="D42" s="21" t="s">
        <v>102</v>
      </c>
      <c r="E42" s="21">
        <v>8304</v>
      </c>
      <c r="F42" s="21">
        <v>2.5</v>
      </c>
      <c r="G42" s="21">
        <v>68</v>
      </c>
      <c r="H42" s="21" t="s">
        <v>98</v>
      </c>
      <c r="I42" s="21" t="s">
        <v>103</v>
      </c>
    </row>
    <row r="43" spans="1:9" ht="19.5" customHeight="1" x14ac:dyDescent="0.35">
      <c r="A43" s="18">
        <v>40</v>
      </c>
      <c r="B43" s="24" t="s">
        <v>179</v>
      </c>
      <c r="C43" s="19" t="s">
        <v>180</v>
      </c>
      <c r="D43" s="19" t="s">
        <v>97</v>
      </c>
      <c r="E43" s="19">
        <v>8052</v>
      </c>
      <c r="F43" s="19">
        <v>2.5</v>
      </c>
      <c r="G43" s="19">
        <v>60</v>
      </c>
      <c r="H43" s="19" t="s">
        <v>118</v>
      </c>
      <c r="I43" s="19" t="s">
        <v>103</v>
      </c>
    </row>
    <row r="44" spans="1:9" ht="19.5" customHeight="1" x14ac:dyDescent="0.35">
      <c r="A44" s="20">
        <v>41</v>
      </c>
      <c r="B44" s="23" t="s">
        <v>181</v>
      </c>
      <c r="C44" s="21" t="s">
        <v>182</v>
      </c>
      <c r="D44" s="21" t="s">
        <v>97</v>
      </c>
      <c r="E44" s="21">
        <v>8052</v>
      </c>
      <c r="F44" s="21">
        <v>4.5</v>
      </c>
      <c r="G44" s="21">
        <v>90</v>
      </c>
      <c r="H44" s="21" t="s">
        <v>118</v>
      </c>
      <c r="I44" s="21" t="s">
        <v>103</v>
      </c>
    </row>
    <row r="45" spans="1:9" ht="19.5" customHeight="1" x14ac:dyDescent="0.35">
      <c r="A45" s="18">
        <v>42</v>
      </c>
      <c r="B45" s="24" t="s">
        <v>183</v>
      </c>
      <c r="C45" s="19" t="s">
        <v>184</v>
      </c>
      <c r="D45" s="19" t="s">
        <v>185</v>
      </c>
      <c r="E45" s="19">
        <v>8903</v>
      </c>
      <c r="F45" s="19">
        <v>1.5</v>
      </c>
      <c r="G45" s="19">
        <v>35</v>
      </c>
      <c r="H45" s="19" t="s">
        <v>118</v>
      </c>
      <c r="I45" s="19" t="s">
        <v>103</v>
      </c>
    </row>
    <row r="46" spans="1:9" ht="19.5" customHeight="1" x14ac:dyDescent="0.35">
      <c r="A46" s="20">
        <v>43</v>
      </c>
      <c r="B46" s="23" t="s">
        <v>186</v>
      </c>
      <c r="C46" s="21" t="s">
        <v>187</v>
      </c>
      <c r="D46" s="21" t="s">
        <v>185</v>
      </c>
      <c r="E46" s="21">
        <v>8903</v>
      </c>
      <c r="F46" s="21">
        <v>1.5</v>
      </c>
      <c r="G46" s="21">
        <v>65</v>
      </c>
      <c r="H46" s="21" t="s">
        <v>118</v>
      </c>
      <c r="I46" s="21" t="s">
        <v>103</v>
      </c>
    </row>
    <row r="47" spans="1:9" ht="19.5" customHeight="1" x14ac:dyDescent="0.35">
      <c r="A47" s="18">
        <v>44</v>
      </c>
      <c r="B47" s="24" t="s">
        <v>188</v>
      </c>
      <c r="C47" s="19" t="s">
        <v>189</v>
      </c>
      <c r="D47" s="19" t="s">
        <v>97</v>
      </c>
      <c r="E47" s="19">
        <v>8003</v>
      </c>
      <c r="F47" s="19">
        <v>1</v>
      </c>
      <c r="G47" s="19">
        <v>25</v>
      </c>
      <c r="H47" s="19" t="s">
        <v>98</v>
      </c>
      <c r="I47" s="19" t="s">
        <v>103</v>
      </c>
    </row>
    <row r="48" spans="1:9" ht="19.5" customHeight="1" x14ac:dyDescent="0.35">
      <c r="A48" s="20">
        <v>45</v>
      </c>
      <c r="B48" s="23" t="s">
        <v>190</v>
      </c>
      <c r="C48" s="21" t="s">
        <v>191</v>
      </c>
      <c r="D48" s="21" t="s">
        <v>145</v>
      </c>
      <c r="E48" s="21">
        <v>4051</v>
      </c>
      <c r="F48" s="21">
        <v>1.5</v>
      </c>
      <c r="G48" s="21">
        <v>35</v>
      </c>
      <c r="H48" s="21" t="s">
        <v>98</v>
      </c>
      <c r="I48" s="21" t="s">
        <v>103</v>
      </c>
    </row>
    <row r="49" spans="1:9" ht="19.5" customHeight="1" x14ac:dyDescent="0.35">
      <c r="A49" s="18">
        <v>46</v>
      </c>
      <c r="B49" s="24" t="s">
        <v>192</v>
      </c>
      <c r="C49" s="19" t="s">
        <v>191</v>
      </c>
      <c r="D49" s="19" t="s">
        <v>145</v>
      </c>
      <c r="E49" s="19">
        <v>4051</v>
      </c>
      <c r="F49" s="19">
        <v>1.5</v>
      </c>
      <c r="G49" s="19">
        <v>35</v>
      </c>
      <c r="H49" s="19" t="s">
        <v>98</v>
      </c>
      <c r="I49" s="19" t="s">
        <v>103</v>
      </c>
    </row>
    <row r="50" spans="1:9" ht="19.5" customHeight="1" x14ac:dyDescent="0.35">
      <c r="A50" s="20">
        <v>47</v>
      </c>
      <c r="B50" s="23" t="s">
        <v>193</v>
      </c>
      <c r="C50" s="21" t="s">
        <v>194</v>
      </c>
      <c r="D50" s="21" t="s">
        <v>185</v>
      </c>
      <c r="E50" s="21">
        <v>8903</v>
      </c>
      <c r="F50" s="21">
        <v>1.5</v>
      </c>
      <c r="G50" s="21"/>
      <c r="H50" s="21" t="s">
        <v>98</v>
      </c>
      <c r="I50" s="21" t="s">
        <v>136</v>
      </c>
    </row>
    <row r="51" spans="1:9" ht="19.5" customHeight="1" x14ac:dyDescent="0.35">
      <c r="A51" s="18">
        <v>48</v>
      </c>
      <c r="B51" s="24" t="s">
        <v>195</v>
      </c>
      <c r="C51" s="19" t="s">
        <v>196</v>
      </c>
      <c r="D51" s="19" t="s">
        <v>185</v>
      </c>
      <c r="E51" s="19">
        <v>8903</v>
      </c>
      <c r="F51" s="19">
        <v>2</v>
      </c>
      <c r="G51" s="19">
        <v>50</v>
      </c>
      <c r="H51" s="19" t="s">
        <v>118</v>
      </c>
      <c r="I51" s="19" t="s">
        <v>103</v>
      </c>
    </row>
    <row r="52" spans="1:9" ht="19.5" customHeight="1" x14ac:dyDescent="0.35">
      <c r="A52" s="20">
        <v>49</v>
      </c>
      <c r="B52" s="23" t="s">
        <v>197</v>
      </c>
      <c r="C52" s="21" t="s">
        <v>198</v>
      </c>
      <c r="D52" s="21" t="s">
        <v>145</v>
      </c>
      <c r="E52" s="21">
        <v>4051</v>
      </c>
      <c r="F52" s="21">
        <v>2.5</v>
      </c>
      <c r="G52" s="21"/>
      <c r="H52" s="21" t="s">
        <v>98</v>
      </c>
      <c r="I52" s="21" t="s">
        <v>136</v>
      </c>
    </row>
    <row r="53" spans="1:9" ht="19.5" customHeight="1" x14ac:dyDescent="0.35">
      <c r="A53" s="18">
        <v>50</v>
      </c>
      <c r="B53" s="24" t="s">
        <v>199</v>
      </c>
      <c r="C53" s="19" t="s">
        <v>200</v>
      </c>
      <c r="D53" s="19" t="s">
        <v>201</v>
      </c>
      <c r="E53" s="19">
        <v>8152</v>
      </c>
      <c r="F53" s="19">
        <v>4.5</v>
      </c>
      <c r="G53" s="19">
        <v>110</v>
      </c>
      <c r="H53" s="19" t="s">
        <v>118</v>
      </c>
      <c r="I53" s="19" t="s">
        <v>103</v>
      </c>
    </row>
    <row r="54" spans="1:9" ht="19.5" customHeight="1" x14ac:dyDescent="0.35">
      <c r="A54" s="20">
        <v>51</v>
      </c>
      <c r="B54" s="23" t="s">
        <v>202</v>
      </c>
      <c r="C54" s="21" t="s">
        <v>203</v>
      </c>
      <c r="D54" s="21" t="s">
        <v>97</v>
      </c>
      <c r="E54" s="21">
        <v>8050</v>
      </c>
      <c r="F54" s="21">
        <v>2.5</v>
      </c>
      <c r="G54" s="21">
        <v>60</v>
      </c>
      <c r="H54" s="21" t="s">
        <v>98</v>
      </c>
      <c r="I54" s="21" t="s">
        <v>103</v>
      </c>
    </row>
    <row r="55" spans="1:9" ht="19.5" customHeight="1" x14ac:dyDescent="0.35">
      <c r="A55" s="18">
        <v>52</v>
      </c>
      <c r="B55" s="24" t="s">
        <v>204</v>
      </c>
      <c r="C55" s="19" t="s">
        <v>205</v>
      </c>
      <c r="D55" s="19" t="s">
        <v>201</v>
      </c>
      <c r="E55" s="19">
        <v>8152</v>
      </c>
      <c r="F55" s="19">
        <v>3.5</v>
      </c>
      <c r="G55" s="19">
        <v>75</v>
      </c>
      <c r="H55" s="19" t="s">
        <v>118</v>
      </c>
      <c r="I55" s="19" t="s">
        <v>103</v>
      </c>
    </row>
    <row r="56" spans="1:9" ht="19.5" customHeight="1" x14ac:dyDescent="0.35">
      <c r="A56" s="20">
        <v>53</v>
      </c>
      <c r="B56" s="23" t="s">
        <v>206</v>
      </c>
      <c r="C56" s="21" t="s">
        <v>205</v>
      </c>
      <c r="D56" s="21" t="s">
        <v>201</v>
      </c>
      <c r="E56" s="21">
        <v>8152</v>
      </c>
      <c r="F56" s="21">
        <v>2.5</v>
      </c>
      <c r="G56" s="21">
        <v>55</v>
      </c>
      <c r="H56" s="21" t="s">
        <v>98</v>
      </c>
      <c r="I56" s="21" t="s">
        <v>103</v>
      </c>
    </row>
    <row r="57" spans="1:9" ht="19.5" customHeight="1" x14ac:dyDescent="0.35">
      <c r="A57" s="18">
        <v>54</v>
      </c>
      <c r="B57" s="24" t="s">
        <v>207</v>
      </c>
      <c r="C57" s="19" t="s">
        <v>208</v>
      </c>
      <c r="D57" s="19" t="s">
        <v>97</v>
      </c>
      <c r="E57" s="19">
        <v>8051</v>
      </c>
      <c r="F57" s="19">
        <v>2.5</v>
      </c>
      <c r="G57" s="19"/>
      <c r="H57" s="19" t="s">
        <v>98</v>
      </c>
      <c r="I57" s="19" t="s">
        <v>136</v>
      </c>
    </row>
    <row r="58" spans="1:9" ht="19.5" customHeight="1" x14ac:dyDescent="0.35">
      <c r="A58" s="20">
        <v>55</v>
      </c>
      <c r="B58" s="23" t="s">
        <v>209</v>
      </c>
      <c r="C58" s="21" t="s">
        <v>210</v>
      </c>
      <c r="D58" s="21" t="s">
        <v>102</v>
      </c>
      <c r="E58" s="21">
        <v>8304</v>
      </c>
      <c r="F58" s="21">
        <v>2.5</v>
      </c>
      <c r="G58" s="21"/>
      <c r="H58" s="21" t="s">
        <v>98</v>
      </c>
      <c r="I58" s="21" t="s">
        <v>136</v>
      </c>
    </row>
    <row r="59" spans="1:9" ht="19.5" customHeight="1" x14ac:dyDescent="0.35">
      <c r="A59" s="18">
        <v>56</v>
      </c>
      <c r="B59" s="24" t="s">
        <v>211</v>
      </c>
      <c r="C59" s="19" t="s">
        <v>212</v>
      </c>
      <c r="D59" s="19" t="s">
        <v>97</v>
      </c>
      <c r="E59" s="19">
        <v>8003</v>
      </c>
      <c r="F59" s="19">
        <v>1</v>
      </c>
      <c r="G59" s="19">
        <v>25</v>
      </c>
      <c r="H59" s="19" t="s">
        <v>98</v>
      </c>
      <c r="I59" s="19" t="s">
        <v>99</v>
      </c>
    </row>
    <row r="60" spans="1:9" ht="19.5" customHeight="1" x14ac:dyDescent="0.35">
      <c r="A60" s="20">
        <v>57</v>
      </c>
      <c r="B60" s="23" t="s">
        <v>213</v>
      </c>
      <c r="C60" s="21" t="s">
        <v>214</v>
      </c>
      <c r="D60" s="21" t="s">
        <v>102</v>
      </c>
      <c r="E60" s="21">
        <v>8304</v>
      </c>
      <c r="F60" s="21">
        <v>4.5</v>
      </c>
      <c r="G60" s="21">
        <v>80</v>
      </c>
      <c r="H60" s="21" t="s">
        <v>98</v>
      </c>
      <c r="I60" s="21" t="s">
        <v>103</v>
      </c>
    </row>
    <row r="61" spans="1:9" ht="19.5" customHeight="1" x14ac:dyDescent="0.35">
      <c r="A61" s="18">
        <v>58</v>
      </c>
      <c r="B61" s="24" t="s">
        <v>215</v>
      </c>
      <c r="C61" s="19" t="s">
        <v>216</v>
      </c>
      <c r="D61" s="19" t="s">
        <v>217</v>
      </c>
      <c r="E61" s="19">
        <v>8800</v>
      </c>
      <c r="F61" s="19">
        <v>4.5</v>
      </c>
      <c r="G61" s="19"/>
      <c r="H61" s="19" t="s">
        <v>98</v>
      </c>
      <c r="I61" s="19" t="s">
        <v>136</v>
      </c>
    </row>
    <row r="62" spans="1:9" ht="19.5" customHeight="1" x14ac:dyDescent="0.35">
      <c r="A62" s="20">
        <v>59</v>
      </c>
      <c r="B62" s="23" t="s">
        <v>218</v>
      </c>
      <c r="C62" s="21" t="s">
        <v>219</v>
      </c>
      <c r="D62" s="21" t="s">
        <v>220</v>
      </c>
      <c r="E62" s="21">
        <v>7270</v>
      </c>
      <c r="F62" s="21">
        <v>3.5</v>
      </c>
      <c r="G62" s="21">
        <v>50</v>
      </c>
      <c r="H62" s="21" t="s">
        <v>118</v>
      </c>
      <c r="I62" s="21" t="s">
        <v>103</v>
      </c>
    </row>
    <row r="63" spans="1:9" ht="19.5" customHeight="1" x14ac:dyDescent="0.35">
      <c r="A63" s="18">
        <v>60</v>
      </c>
      <c r="B63" s="24" t="s">
        <v>221</v>
      </c>
      <c r="C63" s="19" t="s">
        <v>222</v>
      </c>
      <c r="D63" s="19" t="s">
        <v>223</v>
      </c>
      <c r="E63" s="19">
        <v>8135</v>
      </c>
      <c r="F63" s="19">
        <v>2.5</v>
      </c>
      <c r="G63" s="19">
        <v>50</v>
      </c>
      <c r="H63" s="19" t="s">
        <v>98</v>
      </c>
      <c r="I63" s="19" t="s">
        <v>99</v>
      </c>
    </row>
    <row r="64" spans="1:9" ht="19.5" customHeight="1" x14ac:dyDescent="0.35">
      <c r="A64" s="20">
        <v>61</v>
      </c>
      <c r="B64" s="23" t="s">
        <v>224</v>
      </c>
      <c r="C64" s="21" t="s">
        <v>153</v>
      </c>
      <c r="D64" s="21" t="s">
        <v>132</v>
      </c>
      <c r="E64" s="21">
        <v>8600</v>
      </c>
      <c r="F64" s="21">
        <v>3.5</v>
      </c>
      <c r="G64" s="21">
        <v>77.400000000000006</v>
      </c>
      <c r="H64" s="21" t="s">
        <v>98</v>
      </c>
      <c r="I64" s="21" t="s">
        <v>103</v>
      </c>
    </row>
    <row r="65" spans="1:9" ht="19.5" customHeight="1" x14ac:dyDescent="0.35">
      <c r="A65" s="18">
        <v>62</v>
      </c>
      <c r="B65" s="24" t="s">
        <v>225</v>
      </c>
      <c r="C65" s="19" t="s">
        <v>156</v>
      </c>
      <c r="D65" s="19" t="s">
        <v>132</v>
      </c>
      <c r="E65" s="19">
        <v>8600</v>
      </c>
      <c r="F65" s="19">
        <v>3.5</v>
      </c>
      <c r="G65" s="19">
        <v>77</v>
      </c>
      <c r="H65" s="19" t="s">
        <v>98</v>
      </c>
      <c r="I65" s="19" t="s">
        <v>103</v>
      </c>
    </row>
    <row r="66" spans="1:9" ht="19.5" customHeight="1" x14ac:dyDescent="0.35">
      <c r="A66" s="20">
        <v>63</v>
      </c>
      <c r="B66" s="23" t="s">
        <v>226</v>
      </c>
      <c r="C66" s="21" t="s">
        <v>161</v>
      </c>
      <c r="D66" s="21" t="s">
        <v>132</v>
      </c>
      <c r="E66" s="21">
        <v>8600</v>
      </c>
      <c r="F66" s="21">
        <v>3.5</v>
      </c>
      <c r="G66" s="21">
        <v>77.400000000000006</v>
      </c>
      <c r="H66" s="21" t="s">
        <v>98</v>
      </c>
      <c r="I66" s="21" t="s">
        <v>103</v>
      </c>
    </row>
    <row r="67" spans="1:9" ht="19.5" customHeight="1" x14ac:dyDescent="0.35">
      <c r="A67" s="18">
        <v>64</v>
      </c>
      <c r="B67" s="24" t="s">
        <v>227</v>
      </c>
      <c r="C67" s="19" t="s">
        <v>203</v>
      </c>
      <c r="D67" s="19" t="s">
        <v>97</v>
      </c>
      <c r="E67" s="19">
        <v>8050</v>
      </c>
      <c r="F67" s="19">
        <v>1.5</v>
      </c>
      <c r="G67" s="19">
        <v>35</v>
      </c>
      <c r="H67" s="19" t="s">
        <v>98</v>
      </c>
      <c r="I67" s="19" t="s">
        <v>103</v>
      </c>
    </row>
    <row r="68" spans="1:9" ht="19.5" customHeight="1" x14ac:dyDescent="0.35">
      <c r="A68" s="20">
        <v>65</v>
      </c>
      <c r="B68" s="23" t="s">
        <v>228</v>
      </c>
      <c r="C68" s="21" t="s">
        <v>229</v>
      </c>
      <c r="D68" s="21" t="s">
        <v>107</v>
      </c>
      <c r="E68" s="21">
        <v>8953</v>
      </c>
      <c r="F68" s="21">
        <v>1</v>
      </c>
      <c r="G68" s="21">
        <v>30</v>
      </c>
      <c r="H68" s="21" t="s">
        <v>98</v>
      </c>
      <c r="I68" s="21" t="s">
        <v>103</v>
      </c>
    </row>
    <row r="69" spans="1:9" ht="19.5" customHeight="1" x14ac:dyDescent="0.35">
      <c r="A69" s="18">
        <v>66</v>
      </c>
      <c r="B69" s="24" t="s">
        <v>230</v>
      </c>
      <c r="C69" s="19" t="s">
        <v>231</v>
      </c>
      <c r="D69" s="19" t="s">
        <v>97</v>
      </c>
      <c r="E69" s="19">
        <v>8051</v>
      </c>
      <c r="F69" s="19">
        <v>2.5</v>
      </c>
      <c r="G69" s="19">
        <v>55</v>
      </c>
      <c r="H69" s="19" t="s">
        <v>98</v>
      </c>
      <c r="I69" s="19" t="s">
        <v>103</v>
      </c>
    </row>
    <row r="70" spans="1:9" ht="19.5" customHeight="1" x14ac:dyDescent="0.35">
      <c r="A70" s="20">
        <v>67</v>
      </c>
      <c r="B70" s="23" t="s">
        <v>232</v>
      </c>
      <c r="C70" s="21" t="s">
        <v>231</v>
      </c>
      <c r="D70" s="21" t="s">
        <v>97</v>
      </c>
      <c r="E70" s="21">
        <v>8051</v>
      </c>
      <c r="F70" s="21">
        <v>1.5</v>
      </c>
      <c r="G70" s="21">
        <v>35</v>
      </c>
      <c r="H70" s="21" t="s">
        <v>98</v>
      </c>
      <c r="I70" s="21" t="s">
        <v>103</v>
      </c>
    </row>
    <row r="71" spans="1:9" ht="19.5" customHeight="1" x14ac:dyDescent="0.35">
      <c r="A71" s="18">
        <v>68</v>
      </c>
      <c r="B71" s="24" t="s">
        <v>233</v>
      </c>
      <c r="C71" s="19" t="s">
        <v>234</v>
      </c>
      <c r="D71" s="19" t="s">
        <v>223</v>
      </c>
      <c r="E71" s="19">
        <v>8135</v>
      </c>
      <c r="F71" s="19">
        <v>1.5</v>
      </c>
      <c r="G71" s="19">
        <v>27</v>
      </c>
      <c r="H71" s="19" t="s">
        <v>118</v>
      </c>
      <c r="I71" s="19" t="s">
        <v>103</v>
      </c>
    </row>
    <row r="72" spans="1:9" ht="19.5" customHeight="1" x14ac:dyDescent="0.35">
      <c r="A72" s="20">
        <v>69</v>
      </c>
      <c r="B72" s="23" t="s">
        <v>235</v>
      </c>
      <c r="C72" s="21" t="s">
        <v>210</v>
      </c>
      <c r="D72" s="21" t="s">
        <v>102</v>
      </c>
      <c r="E72" s="21">
        <v>8304</v>
      </c>
      <c r="F72" s="21">
        <v>2.5</v>
      </c>
      <c r="G72" s="21"/>
      <c r="H72" s="21" t="s">
        <v>98</v>
      </c>
      <c r="I72" s="21" t="s">
        <v>136</v>
      </c>
    </row>
    <row r="73" spans="1:9" ht="19.5" customHeight="1" x14ac:dyDescent="0.35">
      <c r="A73" s="18">
        <v>70</v>
      </c>
      <c r="B73" s="24" t="s">
        <v>236</v>
      </c>
      <c r="C73" s="19" t="s">
        <v>237</v>
      </c>
      <c r="D73" s="19" t="s">
        <v>102</v>
      </c>
      <c r="E73" s="19">
        <v>8304</v>
      </c>
      <c r="F73" s="19">
        <v>3.5</v>
      </c>
      <c r="G73" s="19">
        <v>70</v>
      </c>
      <c r="H73" s="19" t="s">
        <v>98</v>
      </c>
      <c r="I73" s="19" t="s">
        <v>103</v>
      </c>
    </row>
    <row r="74" spans="1:9" ht="19.5" customHeight="1" x14ac:dyDescent="0.35">
      <c r="A74" s="20">
        <v>71</v>
      </c>
      <c r="B74" s="23" t="s">
        <v>238</v>
      </c>
      <c r="C74" s="21" t="s">
        <v>239</v>
      </c>
      <c r="D74" s="21" t="s">
        <v>97</v>
      </c>
      <c r="E74" s="21">
        <v>8051</v>
      </c>
      <c r="F74" s="21">
        <v>1</v>
      </c>
      <c r="G74" s="21"/>
      <c r="H74" s="21" t="s">
        <v>98</v>
      </c>
      <c r="I74" s="21" t="s">
        <v>136</v>
      </c>
    </row>
    <row r="75" spans="1:9" ht="19.5" customHeight="1" x14ac:dyDescent="0.35">
      <c r="A75" s="18">
        <v>72</v>
      </c>
      <c r="B75" s="24" t="s">
        <v>240</v>
      </c>
      <c r="C75" s="19" t="s">
        <v>106</v>
      </c>
      <c r="D75" s="19" t="s">
        <v>107</v>
      </c>
      <c r="E75" s="19">
        <v>8953</v>
      </c>
      <c r="F75" s="19">
        <v>1.5</v>
      </c>
      <c r="G75" s="19">
        <v>35</v>
      </c>
      <c r="H75" s="19" t="s">
        <v>98</v>
      </c>
      <c r="I75" s="19" t="s">
        <v>99</v>
      </c>
    </row>
    <row r="76" spans="1:9" ht="19.5" customHeight="1" x14ac:dyDescent="0.35">
      <c r="A76" s="20">
        <v>73</v>
      </c>
      <c r="B76" s="23" t="s">
        <v>241</v>
      </c>
      <c r="C76" s="21" t="s">
        <v>109</v>
      </c>
      <c r="D76" s="21" t="s">
        <v>110</v>
      </c>
      <c r="E76" s="21">
        <v>8134</v>
      </c>
      <c r="F76" s="21">
        <v>3.5</v>
      </c>
      <c r="G76" s="21">
        <v>65</v>
      </c>
      <c r="H76" s="21" t="s">
        <v>98</v>
      </c>
      <c r="I76" s="21" t="s">
        <v>103</v>
      </c>
    </row>
    <row r="77" spans="1:9" ht="19.5" customHeight="1" x14ac:dyDescent="0.35">
      <c r="A77" s="18">
        <v>74</v>
      </c>
      <c r="B77" s="24" t="s">
        <v>242</v>
      </c>
      <c r="C77" s="19" t="s">
        <v>237</v>
      </c>
      <c r="D77" s="19" t="s">
        <v>102</v>
      </c>
      <c r="E77" s="19">
        <v>8304</v>
      </c>
      <c r="F77" s="19">
        <v>3.5</v>
      </c>
      <c r="G77" s="19">
        <v>70</v>
      </c>
      <c r="H77" s="19" t="s">
        <v>118</v>
      </c>
      <c r="I77" s="19" t="s">
        <v>103</v>
      </c>
    </row>
    <row r="78" spans="1:9" ht="19.5" customHeight="1" x14ac:dyDescent="0.35">
      <c r="A78" s="20">
        <v>75</v>
      </c>
      <c r="B78" s="23" t="s">
        <v>243</v>
      </c>
      <c r="C78" s="21" t="s">
        <v>244</v>
      </c>
      <c r="D78" s="21" t="s">
        <v>102</v>
      </c>
      <c r="E78" s="21">
        <v>8304</v>
      </c>
      <c r="F78" s="21">
        <v>3.5</v>
      </c>
      <c r="G78" s="21"/>
      <c r="H78" s="21" t="s">
        <v>98</v>
      </c>
      <c r="I78" s="21" t="s">
        <v>136</v>
      </c>
    </row>
    <row r="79" spans="1:9" ht="19.5" customHeight="1" x14ac:dyDescent="0.35">
      <c r="A79" s="18">
        <v>76</v>
      </c>
      <c r="B79" s="24" t="s">
        <v>245</v>
      </c>
      <c r="C79" s="19" t="s">
        <v>246</v>
      </c>
      <c r="D79" s="19" t="s">
        <v>102</v>
      </c>
      <c r="E79" s="19">
        <v>8304</v>
      </c>
      <c r="F79" s="19">
        <v>4.5</v>
      </c>
      <c r="G79" s="19">
        <v>110</v>
      </c>
      <c r="H79" s="19" t="s">
        <v>98</v>
      </c>
      <c r="I79" s="19" t="s">
        <v>103</v>
      </c>
    </row>
    <row r="80" spans="1:9" ht="19.5" customHeight="1" x14ac:dyDescent="0.35">
      <c r="A80" s="20">
        <v>77</v>
      </c>
      <c r="B80" s="23" t="s">
        <v>247</v>
      </c>
      <c r="C80" s="21" t="s">
        <v>106</v>
      </c>
      <c r="D80" s="21" t="s">
        <v>107</v>
      </c>
      <c r="E80" s="21">
        <v>8953</v>
      </c>
      <c r="F80" s="21">
        <v>2.5</v>
      </c>
      <c r="G80" s="21">
        <v>50</v>
      </c>
      <c r="H80" s="21" t="s">
        <v>98</v>
      </c>
      <c r="I80" s="21" t="s">
        <v>103</v>
      </c>
    </row>
    <row r="81" spans="1:9" ht="19.5" customHeight="1" x14ac:dyDescent="0.35">
      <c r="A81" s="18">
        <v>78</v>
      </c>
      <c r="B81" s="24" t="s">
        <v>248</v>
      </c>
      <c r="C81" s="19" t="s">
        <v>249</v>
      </c>
      <c r="D81" s="19" t="s">
        <v>97</v>
      </c>
      <c r="E81" s="19">
        <v>8045</v>
      </c>
      <c r="F81" s="19">
        <v>3.5</v>
      </c>
      <c r="G81" s="19">
        <v>80</v>
      </c>
      <c r="H81" s="19" t="s">
        <v>98</v>
      </c>
      <c r="I81" s="19" t="s">
        <v>99</v>
      </c>
    </row>
    <row r="82" spans="1:9" ht="19.5" customHeight="1" x14ac:dyDescent="0.35">
      <c r="A82" s="20">
        <v>79</v>
      </c>
      <c r="B82" s="23" t="s">
        <v>250</v>
      </c>
      <c r="C82" s="21" t="s">
        <v>251</v>
      </c>
      <c r="D82" s="21" t="s">
        <v>97</v>
      </c>
      <c r="E82" s="21">
        <v>8045</v>
      </c>
      <c r="F82" s="21">
        <v>3.5</v>
      </c>
      <c r="G82" s="21">
        <v>80</v>
      </c>
      <c r="H82" s="21" t="s">
        <v>98</v>
      </c>
      <c r="I82" s="21" t="s">
        <v>99</v>
      </c>
    </row>
    <row r="83" spans="1:9" ht="19.5" customHeight="1" x14ac:dyDescent="0.35">
      <c r="A83" s="18">
        <v>80</v>
      </c>
      <c r="B83" s="24" t="s">
        <v>252</v>
      </c>
      <c r="C83" s="19" t="s">
        <v>253</v>
      </c>
      <c r="D83" s="19" t="s">
        <v>97</v>
      </c>
      <c r="E83" s="19">
        <v>8045</v>
      </c>
      <c r="F83" s="19">
        <v>3.5</v>
      </c>
      <c r="G83" s="19">
        <v>80</v>
      </c>
      <c r="H83" s="19" t="s">
        <v>98</v>
      </c>
      <c r="I83" s="19" t="s">
        <v>103</v>
      </c>
    </row>
    <row r="84" spans="1:9" ht="19.5" customHeight="1" x14ac:dyDescent="0.35">
      <c r="A84" s="20">
        <v>81</v>
      </c>
      <c r="B84" s="23" t="s">
        <v>254</v>
      </c>
      <c r="C84" s="21" t="s">
        <v>255</v>
      </c>
      <c r="D84" s="21" t="s">
        <v>97</v>
      </c>
      <c r="E84" s="21">
        <v>8045</v>
      </c>
      <c r="F84" s="21">
        <v>3.5</v>
      </c>
      <c r="G84" s="21">
        <v>80</v>
      </c>
      <c r="H84" s="21" t="s">
        <v>98</v>
      </c>
      <c r="I84" s="21" t="s">
        <v>103</v>
      </c>
    </row>
    <row r="85" spans="1:9" ht="19.5" customHeight="1" x14ac:dyDescent="0.35">
      <c r="A85" s="18">
        <v>82</v>
      </c>
      <c r="B85" s="24" t="s">
        <v>256</v>
      </c>
      <c r="C85" s="19" t="s">
        <v>257</v>
      </c>
      <c r="D85" s="19" t="s">
        <v>97</v>
      </c>
      <c r="E85" s="19">
        <v>8045</v>
      </c>
      <c r="F85" s="19">
        <v>3.5</v>
      </c>
      <c r="G85" s="19">
        <v>80</v>
      </c>
      <c r="H85" s="19" t="s">
        <v>98</v>
      </c>
      <c r="I85" s="19"/>
    </row>
    <row r="86" spans="1:9" ht="19.5" customHeight="1" x14ac:dyDescent="0.35">
      <c r="A86" s="20">
        <v>83</v>
      </c>
      <c r="B86" s="23" t="s">
        <v>258</v>
      </c>
      <c r="C86" s="21" t="s">
        <v>259</v>
      </c>
      <c r="D86" s="21" t="s">
        <v>132</v>
      </c>
      <c r="E86" s="21">
        <v>8600</v>
      </c>
      <c r="F86" s="21">
        <v>3.5</v>
      </c>
      <c r="G86" s="21">
        <v>70</v>
      </c>
      <c r="H86" s="21" t="s">
        <v>98</v>
      </c>
      <c r="I86" s="21" t="s">
        <v>103</v>
      </c>
    </row>
    <row r="87" spans="1:9" ht="19.5" customHeight="1" x14ac:dyDescent="0.35">
      <c r="A87" s="18">
        <v>84</v>
      </c>
      <c r="B87" s="24" t="s">
        <v>260</v>
      </c>
      <c r="C87" s="19" t="s">
        <v>261</v>
      </c>
      <c r="D87" s="19" t="s">
        <v>132</v>
      </c>
      <c r="E87" s="19">
        <v>8600</v>
      </c>
      <c r="F87" s="19">
        <v>4.5</v>
      </c>
      <c r="G87" s="19">
        <v>85</v>
      </c>
      <c r="H87" s="19" t="s">
        <v>98</v>
      </c>
      <c r="I87" s="19" t="s">
        <v>103</v>
      </c>
    </row>
    <row r="88" spans="1:9" ht="19.5" customHeight="1" x14ac:dyDescent="0.35">
      <c r="A88" s="20">
        <v>85</v>
      </c>
      <c r="B88" s="23" t="s">
        <v>262</v>
      </c>
      <c r="C88" s="21" t="s">
        <v>263</v>
      </c>
      <c r="D88" s="21" t="s">
        <v>264</v>
      </c>
      <c r="E88" s="21">
        <v>8906</v>
      </c>
      <c r="F88" s="21">
        <v>5.5</v>
      </c>
      <c r="G88" s="21">
        <v>130</v>
      </c>
      <c r="H88" s="21" t="s">
        <v>118</v>
      </c>
      <c r="I88" s="21" t="s">
        <v>103</v>
      </c>
    </row>
    <row r="89" spans="1:9" ht="19.5" customHeight="1" x14ac:dyDescent="0.35">
      <c r="A89" s="18">
        <v>86</v>
      </c>
      <c r="B89" s="24" t="s">
        <v>265</v>
      </c>
      <c r="C89" s="19" t="s">
        <v>266</v>
      </c>
      <c r="D89" s="19" t="s">
        <v>145</v>
      </c>
      <c r="E89" s="19">
        <v>4054</v>
      </c>
      <c r="F89" s="19">
        <v>2.5</v>
      </c>
      <c r="G89" s="19">
        <v>60</v>
      </c>
      <c r="H89" s="19" t="s">
        <v>118</v>
      </c>
      <c r="I89" s="19" t="s">
        <v>103</v>
      </c>
    </row>
    <row r="90" spans="1:9" ht="19.5" customHeight="1" x14ac:dyDescent="0.35">
      <c r="A90" s="20">
        <v>87</v>
      </c>
      <c r="B90" s="23" t="s">
        <v>267</v>
      </c>
      <c r="C90" s="21" t="s">
        <v>266</v>
      </c>
      <c r="D90" s="21" t="s">
        <v>145</v>
      </c>
      <c r="E90" s="21">
        <v>4054</v>
      </c>
      <c r="F90" s="21">
        <v>1.5</v>
      </c>
      <c r="G90" s="21">
        <v>40</v>
      </c>
      <c r="H90" s="21" t="s">
        <v>118</v>
      </c>
      <c r="I90" s="21" t="s">
        <v>103</v>
      </c>
    </row>
    <row r="91" spans="1:9" ht="19.5" customHeight="1" x14ac:dyDescent="0.35">
      <c r="A91" s="18">
        <v>88</v>
      </c>
      <c r="B91" s="24" t="s">
        <v>268</v>
      </c>
      <c r="C91" s="19" t="s">
        <v>269</v>
      </c>
      <c r="D91" s="19" t="s">
        <v>102</v>
      </c>
      <c r="E91" s="19">
        <v>8304</v>
      </c>
      <c r="F91" s="19">
        <v>3.5</v>
      </c>
      <c r="G91" s="19"/>
      <c r="H91" s="19" t="s">
        <v>98</v>
      </c>
      <c r="I91" s="19" t="s">
        <v>136</v>
      </c>
    </row>
    <row r="92" spans="1:9" ht="19.5" customHeight="1" x14ac:dyDescent="0.35">
      <c r="A92" s="20">
        <v>89</v>
      </c>
      <c r="B92" s="23" t="s">
        <v>270</v>
      </c>
      <c r="C92" s="21" t="s">
        <v>271</v>
      </c>
      <c r="D92" s="21" t="s">
        <v>97</v>
      </c>
      <c r="E92" s="21">
        <v>8045</v>
      </c>
      <c r="F92" s="21">
        <v>3.5</v>
      </c>
      <c r="G92" s="21">
        <v>80</v>
      </c>
      <c r="H92" s="21" t="s">
        <v>98</v>
      </c>
      <c r="I92" s="21" t="s">
        <v>103</v>
      </c>
    </row>
    <row r="93" spans="1:9" ht="19.5" customHeight="1" x14ac:dyDescent="0.35">
      <c r="A93" s="18">
        <v>90</v>
      </c>
      <c r="B93" s="24" t="s">
        <v>272</v>
      </c>
      <c r="C93" s="19" t="s">
        <v>273</v>
      </c>
      <c r="D93" s="19" t="s">
        <v>97</v>
      </c>
      <c r="E93" s="19">
        <v>8045</v>
      </c>
      <c r="F93" s="19">
        <v>3.5</v>
      </c>
      <c r="G93" s="19">
        <v>80</v>
      </c>
      <c r="H93" s="19" t="s">
        <v>98</v>
      </c>
      <c r="I93" s="19"/>
    </row>
    <row r="94" spans="1:9" ht="19.5" customHeight="1" x14ac:dyDescent="0.35">
      <c r="A94" s="20">
        <v>91</v>
      </c>
      <c r="B94" s="23" t="s">
        <v>274</v>
      </c>
      <c r="C94" s="21" t="s">
        <v>222</v>
      </c>
      <c r="D94" s="21" t="s">
        <v>223</v>
      </c>
      <c r="E94" s="21">
        <v>8135</v>
      </c>
      <c r="F94" s="21">
        <v>3.5</v>
      </c>
      <c r="G94" s="21">
        <v>70</v>
      </c>
      <c r="H94" s="21" t="s">
        <v>98</v>
      </c>
      <c r="I94" s="21" t="s">
        <v>103</v>
      </c>
    </row>
    <row r="95" spans="1:9" ht="19.5" customHeight="1" x14ac:dyDescent="0.35">
      <c r="A95" s="18">
        <v>92</v>
      </c>
      <c r="B95" s="24" t="s">
        <v>275</v>
      </c>
      <c r="C95" s="19" t="s">
        <v>276</v>
      </c>
      <c r="D95" s="19" t="s">
        <v>132</v>
      </c>
      <c r="E95" s="19">
        <v>8600</v>
      </c>
      <c r="F95" s="19">
        <v>2</v>
      </c>
      <c r="G95" s="19">
        <v>50</v>
      </c>
      <c r="H95" s="19" t="s">
        <v>98</v>
      </c>
      <c r="I95" s="19" t="s">
        <v>103</v>
      </c>
    </row>
    <row r="96" spans="1:9" ht="19.5" customHeight="1" x14ac:dyDescent="0.35">
      <c r="A96" s="20">
        <v>93</v>
      </c>
      <c r="B96" s="23" t="s">
        <v>277</v>
      </c>
      <c r="C96" s="21" t="s">
        <v>278</v>
      </c>
      <c r="D96" s="21" t="s">
        <v>201</v>
      </c>
      <c r="E96" s="21">
        <v>8152</v>
      </c>
      <c r="F96" s="21">
        <v>3.5</v>
      </c>
      <c r="G96" s="21">
        <v>75</v>
      </c>
      <c r="H96" s="21" t="s">
        <v>118</v>
      </c>
      <c r="I96" s="21" t="s">
        <v>103</v>
      </c>
    </row>
    <row r="97" spans="1:9" ht="19.5" customHeight="1" x14ac:dyDescent="0.35">
      <c r="A97" s="18">
        <v>94</v>
      </c>
      <c r="B97" s="24" t="s">
        <v>279</v>
      </c>
      <c r="C97" s="19" t="s">
        <v>153</v>
      </c>
      <c r="D97" s="19" t="s">
        <v>132</v>
      </c>
      <c r="E97" s="19">
        <v>8600</v>
      </c>
      <c r="F97" s="19">
        <v>2.5</v>
      </c>
      <c r="G97" s="19">
        <v>53.7</v>
      </c>
      <c r="H97" s="19" t="s">
        <v>98</v>
      </c>
      <c r="I97" s="19" t="s">
        <v>103</v>
      </c>
    </row>
    <row r="98" spans="1:9" ht="19.5" customHeight="1" x14ac:dyDescent="0.35">
      <c r="A98" s="20">
        <v>95</v>
      </c>
      <c r="B98" s="23" t="s">
        <v>280</v>
      </c>
      <c r="C98" s="21" t="s">
        <v>153</v>
      </c>
      <c r="D98" s="21" t="s">
        <v>132</v>
      </c>
      <c r="E98" s="21">
        <v>8600</v>
      </c>
      <c r="F98" s="21">
        <v>2.5</v>
      </c>
      <c r="G98" s="21">
        <v>53.7</v>
      </c>
      <c r="H98" s="21" t="s">
        <v>98</v>
      </c>
      <c r="I98" s="21" t="s">
        <v>103</v>
      </c>
    </row>
    <row r="99" spans="1:9" ht="19.5" customHeight="1" x14ac:dyDescent="0.35">
      <c r="A99" s="18">
        <v>96</v>
      </c>
      <c r="B99" s="24" t="s">
        <v>281</v>
      </c>
      <c r="C99" s="19" t="s">
        <v>153</v>
      </c>
      <c r="D99" s="19" t="s">
        <v>132</v>
      </c>
      <c r="E99" s="19">
        <v>8600</v>
      </c>
      <c r="F99" s="19">
        <v>2.5</v>
      </c>
      <c r="G99" s="19">
        <v>53.7</v>
      </c>
      <c r="H99" s="19" t="s">
        <v>98</v>
      </c>
      <c r="I99" s="19" t="s">
        <v>103</v>
      </c>
    </row>
    <row r="100" spans="1:9" ht="19.5" customHeight="1" x14ac:dyDescent="0.35">
      <c r="A100" s="20">
        <v>97</v>
      </c>
      <c r="B100" s="23" t="s">
        <v>282</v>
      </c>
      <c r="C100" s="21" t="s">
        <v>156</v>
      </c>
      <c r="D100" s="21" t="s">
        <v>132</v>
      </c>
      <c r="E100" s="21">
        <v>8600</v>
      </c>
      <c r="F100" s="21">
        <v>1.5</v>
      </c>
      <c r="G100" s="21">
        <v>36</v>
      </c>
      <c r="H100" s="21" t="s">
        <v>98</v>
      </c>
      <c r="I100" s="21" t="s">
        <v>103</v>
      </c>
    </row>
    <row r="101" spans="1:9" ht="19.5" customHeight="1" x14ac:dyDescent="0.35">
      <c r="A101" s="18">
        <v>98</v>
      </c>
      <c r="B101" s="24" t="s">
        <v>283</v>
      </c>
      <c r="C101" s="19" t="s">
        <v>156</v>
      </c>
      <c r="D101" s="19" t="s">
        <v>132</v>
      </c>
      <c r="E101" s="19">
        <v>8600</v>
      </c>
      <c r="F101" s="19">
        <v>1.5</v>
      </c>
      <c r="G101" s="19">
        <v>36</v>
      </c>
      <c r="H101" s="19" t="s">
        <v>98</v>
      </c>
      <c r="I101" s="19" t="s">
        <v>103</v>
      </c>
    </row>
    <row r="102" spans="1:9" ht="19.5" customHeight="1" x14ac:dyDescent="0.35">
      <c r="A102" s="20">
        <v>99</v>
      </c>
      <c r="B102" s="23" t="s">
        <v>284</v>
      </c>
      <c r="C102" s="21" t="s">
        <v>161</v>
      </c>
      <c r="D102" s="21" t="s">
        <v>132</v>
      </c>
      <c r="E102" s="21">
        <v>8600</v>
      </c>
      <c r="F102" s="21">
        <v>3.5</v>
      </c>
      <c r="G102" s="21">
        <v>97.1</v>
      </c>
      <c r="H102" s="21" t="s">
        <v>98</v>
      </c>
      <c r="I102" s="21" t="s">
        <v>103</v>
      </c>
    </row>
    <row r="103" spans="1:9" ht="19.5" customHeight="1" x14ac:dyDescent="0.35">
      <c r="A103" s="18">
        <v>100</v>
      </c>
      <c r="B103" s="24" t="s">
        <v>285</v>
      </c>
      <c r="C103" s="19" t="s">
        <v>161</v>
      </c>
      <c r="D103" s="19" t="s">
        <v>132</v>
      </c>
      <c r="E103" s="19">
        <v>8600</v>
      </c>
      <c r="F103" s="19">
        <v>1.5</v>
      </c>
      <c r="G103" s="19">
        <v>36</v>
      </c>
      <c r="H103" s="19" t="s">
        <v>98</v>
      </c>
      <c r="I103" s="19" t="s">
        <v>103</v>
      </c>
    </row>
    <row r="104" spans="1:9" ht="19.5" customHeight="1" x14ac:dyDescent="0.35">
      <c r="A104" s="20">
        <v>101</v>
      </c>
      <c r="B104" s="23" t="s">
        <v>286</v>
      </c>
      <c r="C104" s="21" t="s">
        <v>161</v>
      </c>
      <c r="D104" s="21" t="s">
        <v>132</v>
      </c>
      <c r="E104" s="21">
        <v>8600</v>
      </c>
      <c r="F104" s="21">
        <v>1.5</v>
      </c>
      <c r="G104" s="21">
        <v>36</v>
      </c>
      <c r="H104" s="21" t="s">
        <v>98</v>
      </c>
      <c r="I104" s="21" t="s">
        <v>103</v>
      </c>
    </row>
    <row r="105" spans="1:9" ht="19.5" customHeight="1" x14ac:dyDescent="0.35">
      <c r="A105" s="18">
        <v>102</v>
      </c>
      <c r="B105" s="24" t="s">
        <v>287</v>
      </c>
      <c r="C105" s="19" t="s">
        <v>164</v>
      </c>
      <c r="D105" s="19" t="s">
        <v>102</v>
      </c>
      <c r="E105" s="19">
        <v>8304</v>
      </c>
      <c r="F105" s="19">
        <v>3.5</v>
      </c>
      <c r="G105" s="19">
        <v>75</v>
      </c>
      <c r="H105" s="19" t="s">
        <v>98</v>
      </c>
      <c r="I105" s="19" t="s">
        <v>103</v>
      </c>
    </row>
    <row r="106" spans="1:9" ht="19.5" customHeight="1" x14ac:dyDescent="0.35">
      <c r="A106" s="20">
        <v>103</v>
      </c>
      <c r="B106" s="23" t="s">
        <v>288</v>
      </c>
      <c r="C106" s="21" t="s">
        <v>289</v>
      </c>
      <c r="D106" s="21" t="s">
        <v>102</v>
      </c>
      <c r="E106" s="21">
        <v>8304</v>
      </c>
      <c r="F106" s="21">
        <v>2.5</v>
      </c>
      <c r="G106" s="21"/>
      <c r="H106" s="21" t="s">
        <v>98</v>
      </c>
      <c r="I106" s="21" t="s">
        <v>136</v>
      </c>
    </row>
    <row r="107" spans="1:9" ht="19.5" customHeight="1" x14ac:dyDescent="0.35">
      <c r="A107" s="18">
        <v>104</v>
      </c>
      <c r="B107" s="24" t="s">
        <v>290</v>
      </c>
      <c r="C107" s="19" t="s">
        <v>291</v>
      </c>
      <c r="D107" s="19" t="s">
        <v>102</v>
      </c>
      <c r="E107" s="19">
        <v>8304</v>
      </c>
      <c r="F107" s="19">
        <v>2.5</v>
      </c>
      <c r="G107" s="19">
        <v>75</v>
      </c>
      <c r="H107" s="19" t="s">
        <v>98</v>
      </c>
      <c r="I107" s="19" t="s">
        <v>103</v>
      </c>
    </row>
    <row r="108" spans="1:9" ht="19.5" customHeight="1" x14ac:dyDescent="0.35">
      <c r="A108" s="20">
        <v>105</v>
      </c>
      <c r="B108" s="23" t="s">
        <v>292</v>
      </c>
      <c r="C108" s="21" t="s">
        <v>293</v>
      </c>
      <c r="D108" s="21" t="s">
        <v>102</v>
      </c>
      <c r="E108" s="21">
        <v>8304</v>
      </c>
      <c r="F108" s="21">
        <v>2.5</v>
      </c>
      <c r="G108" s="21">
        <v>58</v>
      </c>
      <c r="H108" s="21" t="s">
        <v>98</v>
      </c>
      <c r="I108" s="21" t="s">
        <v>103</v>
      </c>
    </row>
    <row r="109" spans="1:9" ht="19.5" customHeight="1" x14ac:dyDescent="0.35">
      <c r="A109" s="18">
        <v>106</v>
      </c>
      <c r="B109" s="24" t="s">
        <v>294</v>
      </c>
      <c r="C109" s="19" t="s">
        <v>170</v>
      </c>
      <c r="D109" s="19" t="s">
        <v>145</v>
      </c>
      <c r="E109" s="19">
        <v>4058</v>
      </c>
      <c r="F109" s="19">
        <v>2.5</v>
      </c>
      <c r="G109" s="19">
        <v>54</v>
      </c>
      <c r="H109" s="19" t="s">
        <v>98</v>
      </c>
      <c r="I109" s="19" t="s">
        <v>103</v>
      </c>
    </row>
    <row r="110" spans="1:9" ht="19.5" customHeight="1" x14ac:dyDescent="0.35">
      <c r="A110" s="20">
        <v>107</v>
      </c>
      <c r="B110" s="23" t="s">
        <v>295</v>
      </c>
      <c r="C110" s="21" t="s">
        <v>296</v>
      </c>
      <c r="D110" s="21" t="s">
        <v>145</v>
      </c>
      <c r="E110" s="21">
        <v>4058</v>
      </c>
      <c r="F110" s="21">
        <v>2.5</v>
      </c>
      <c r="G110" s="21">
        <v>55</v>
      </c>
      <c r="H110" s="21" t="s">
        <v>98</v>
      </c>
      <c r="I110" s="21" t="s">
        <v>99</v>
      </c>
    </row>
    <row r="111" spans="1:9" ht="19.5" customHeight="1" x14ac:dyDescent="0.35">
      <c r="A111" s="18">
        <v>108</v>
      </c>
      <c r="B111" s="24" t="s">
        <v>297</v>
      </c>
      <c r="C111" s="19" t="s">
        <v>296</v>
      </c>
      <c r="D111" s="19" t="s">
        <v>145</v>
      </c>
      <c r="E111" s="19">
        <v>4058</v>
      </c>
      <c r="F111" s="19">
        <v>2.5</v>
      </c>
      <c r="G111" s="19"/>
      <c r="H111" s="19" t="s">
        <v>98</v>
      </c>
      <c r="I111" s="19" t="s">
        <v>136</v>
      </c>
    </row>
    <row r="112" spans="1:9" ht="19.5" customHeight="1" x14ac:dyDescent="0.35">
      <c r="A112" s="20">
        <v>109</v>
      </c>
      <c r="B112" s="23" t="s">
        <v>298</v>
      </c>
      <c r="C112" s="21" t="s">
        <v>173</v>
      </c>
      <c r="D112" s="21" t="s">
        <v>145</v>
      </c>
      <c r="E112" s="21">
        <v>4058</v>
      </c>
      <c r="F112" s="21">
        <v>3.5</v>
      </c>
      <c r="G112" s="21">
        <v>70</v>
      </c>
      <c r="H112" s="21" t="s">
        <v>98</v>
      </c>
      <c r="I112" s="21" t="s">
        <v>103</v>
      </c>
    </row>
    <row r="113" spans="1:9" ht="19.5" customHeight="1" x14ac:dyDescent="0.35">
      <c r="A113" s="18">
        <v>110</v>
      </c>
      <c r="B113" s="24" t="s">
        <v>299</v>
      </c>
      <c r="C113" s="19" t="s">
        <v>300</v>
      </c>
      <c r="D113" s="19" t="s">
        <v>176</v>
      </c>
      <c r="E113" s="19">
        <v>6300</v>
      </c>
      <c r="F113" s="19">
        <v>2.5</v>
      </c>
      <c r="G113" s="19"/>
      <c r="H113" s="19" t="s">
        <v>98</v>
      </c>
      <c r="I113" s="19" t="s">
        <v>136</v>
      </c>
    </row>
    <row r="114" spans="1:9" ht="19.5" customHeight="1" x14ac:dyDescent="0.35">
      <c r="A114" s="20">
        <v>111</v>
      </c>
      <c r="B114" s="23" t="s">
        <v>301</v>
      </c>
      <c r="C114" s="21" t="s">
        <v>302</v>
      </c>
      <c r="D114" s="21" t="s">
        <v>201</v>
      </c>
      <c r="E114" s="21">
        <v>8152</v>
      </c>
      <c r="F114" s="21">
        <v>4.5</v>
      </c>
      <c r="G114" s="21">
        <v>80</v>
      </c>
      <c r="H114" s="21" t="s">
        <v>98</v>
      </c>
      <c r="I114" s="21" t="s">
        <v>103</v>
      </c>
    </row>
    <row r="115" spans="1:9" ht="19.5" customHeight="1" x14ac:dyDescent="0.35">
      <c r="A115" s="18">
        <v>112</v>
      </c>
      <c r="B115" s="24" t="s">
        <v>303</v>
      </c>
      <c r="C115" s="19" t="s">
        <v>178</v>
      </c>
      <c r="D115" s="19" t="s">
        <v>102</v>
      </c>
      <c r="E115" s="19">
        <v>8304</v>
      </c>
      <c r="F115" s="19">
        <v>4.5</v>
      </c>
      <c r="G115" s="19">
        <v>145</v>
      </c>
      <c r="H115" s="19" t="s">
        <v>98</v>
      </c>
      <c r="I115" s="19" t="s">
        <v>304</v>
      </c>
    </row>
    <row r="116" spans="1:9" ht="19.5" customHeight="1" x14ac:dyDescent="0.35">
      <c r="A116" s="20">
        <v>113</v>
      </c>
      <c r="B116" s="23" t="s">
        <v>305</v>
      </c>
      <c r="C116" s="21" t="s">
        <v>306</v>
      </c>
      <c r="D116" s="21" t="s">
        <v>102</v>
      </c>
      <c r="E116" s="21">
        <v>8304</v>
      </c>
      <c r="F116" s="21">
        <v>2.5</v>
      </c>
      <c r="G116" s="21"/>
      <c r="H116" s="21" t="s">
        <v>98</v>
      </c>
      <c r="I116" s="21" t="s">
        <v>136</v>
      </c>
    </row>
    <row r="117" spans="1:9" ht="19.5" customHeight="1" x14ac:dyDescent="0.35">
      <c r="A117" s="18">
        <v>114</v>
      </c>
      <c r="B117" s="24" t="s">
        <v>307</v>
      </c>
      <c r="C117" s="19" t="s">
        <v>308</v>
      </c>
      <c r="D117" s="19" t="s">
        <v>201</v>
      </c>
      <c r="E117" s="19">
        <v>8152</v>
      </c>
      <c r="F117" s="19">
        <v>4.5</v>
      </c>
      <c r="G117" s="19">
        <v>120</v>
      </c>
      <c r="H117" s="19" t="s">
        <v>98</v>
      </c>
      <c r="I117" s="19" t="s">
        <v>103</v>
      </c>
    </row>
    <row r="118" spans="1:9" ht="19.5" customHeight="1" x14ac:dyDescent="0.35">
      <c r="A118" s="20">
        <v>115</v>
      </c>
      <c r="B118" s="23" t="s">
        <v>309</v>
      </c>
      <c r="C118" s="21" t="s">
        <v>180</v>
      </c>
      <c r="D118" s="21" t="s">
        <v>97</v>
      </c>
      <c r="E118" s="21">
        <v>8052</v>
      </c>
      <c r="F118" s="21">
        <v>2.5</v>
      </c>
      <c r="G118" s="21">
        <v>55</v>
      </c>
      <c r="H118" s="21" t="s">
        <v>118</v>
      </c>
      <c r="I118" s="21" t="s">
        <v>103</v>
      </c>
    </row>
    <row r="119" spans="1:9" ht="19.5" customHeight="1" x14ac:dyDescent="0.35">
      <c r="A119" s="18">
        <v>116</v>
      </c>
      <c r="B119" s="24" t="s">
        <v>310</v>
      </c>
      <c r="C119" s="19" t="s">
        <v>311</v>
      </c>
      <c r="D119" s="19" t="s">
        <v>102</v>
      </c>
      <c r="E119" s="19">
        <v>8304</v>
      </c>
      <c r="F119" s="19">
        <v>2.5</v>
      </c>
      <c r="G119" s="19">
        <v>60</v>
      </c>
      <c r="H119" s="19" t="s">
        <v>98</v>
      </c>
      <c r="I119" s="19" t="s">
        <v>103</v>
      </c>
    </row>
    <row r="120" spans="1:9" ht="19.5" customHeight="1" x14ac:dyDescent="0.35">
      <c r="A120" s="20">
        <v>117</v>
      </c>
      <c r="B120" s="23" t="s">
        <v>312</v>
      </c>
      <c r="C120" s="21" t="s">
        <v>311</v>
      </c>
      <c r="D120" s="21" t="s">
        <v>102</v>
      </c>
      <c r="E120" s="21">
        <v>8304</v>
      </c>
      <c r="F120" s="21">
        <v>2.5</v>
      </c>
      <c r="G120" s="21">
        <v>60</v>
      </c>
      <c r="H120" s="21" t="s">
        <v>98</v>
      </c>
      <c r="I120" s="21" t="s">
        <v>103</v>
      </c>
    </row>
    <row r="121" spans="1:9" ht="19.5" customHeight="1" x14ac:dyDescent="0.35">
      <c r="A121" s="18">
        <v>118</v>
      </c>
      <c r="B121" s="24" t="s">
        <v>313</v>
      </c>
      <c r="C121" s="19" t="s">
        <v>311</v>
      </c>
      <c r="D121" s="19" t="s">
        <v>102</v>
      </c>
      <c r="E121" s="19">
        <v>8304</v>
      </c>
      <c r="F121" s="19">
        <v>3.5</v>
      </c>
      <c r="G121" s="19">
        <v>70</v>
      </c>
      <c r="H121" s="19" t="s">
        <v>98</v>
      </c>
      <c r="I121" s="19" t="s">
        <v>103</v>
      </c>
    </row>
    <row r="122" spans="1:9" ht="19.5" customHeight="1" x14ac:dyDescent="0.35">
      <c r="A122" s="20">
        <v>119</v>
      </c>
      <c r="B122" s="23" t="s">
        <v>314</v>
      </c>
      <c r="C122" s="21" t="s">
        <v>184</v>
      </c>
      <c r="D122" s="21" t="s">
        <v>185</v>
      </c>
      <c r="E122" s="21">
        <v>8903</v>
      </c>
      <c r="F122" s="21">
        <v>1.5</v>
      </c>
      <c r="G122" s="21">
        <v>35</v>
      </c>
      <c r="H122" s="21" t="s">
        <v>118</v>
      </c>
      <c r="I122" s="21" t="s">
        <v>103</v>
      </c>
    </row>
    <row r="123" spans="1:9" ht="19.5" customHeight="1" x14ac:dyDescent="0.35">
      <c r="A123" s="18">
        <v>120</v>
      </c>
      <c r="B123" s="24" t="s">
        <v>315</v>
      </c>
      <c r="C123" s="19" t="s">
        <v>200</v>
      </c>
      <c r="D123" s="19" t="s">
        <v>201</v>
      </c>
      <c r="E123" s="19">
        <v>8152</v>
      </c>
      <c r="F123" s="19">
        <v>3.5</v>
      </c>
      <c r="G123" s="19">
        <v>70</v>
      </c>
      <c r="H123" s="19" t="s">
        <v>118</v>
      </c>
      <c r="I123" s="19" t="s">
        <v>103</v>
      </c>
    </row>
    <row r="124" spans="1:9" ht="19.5" customHeight="1" x14ac:dyDescent="0.35">
      <c r="A124" s="20">
        <v>121</v>
      </c>
      <c r="B124" s="23" t="s">
        <v>316</v>
      </c>
      <c r="C124" s="21" t="s">
        <v>200</v>
      </c>
      <c r="D124" s="21" t="s">
        <v>201</v>
      </c>
      <c r="E124" s="21">
        <v>8152</v>
      </c>
      <c r="F124" s="21">
        <v>3.5</v>
      </c>
      <c r="G124" s="21">
        <v>70</v>
      </c>
      <c r="H124" s="21" t="s">
        <v>98</v>
      </c>
      <c r="I124" s="21" t="s">
        <v>103</v>
      </c>
    </row>
    <row r="125" spans="1:9" ht="19.5" customHeight="1" x14ac:dyDescent="0.35">
      <c r="A125" s="18">
        <v>122</v>
      </c>
      <c r="B125" s="24" t="s">
        <v>317</v>
      </c>
      <c r="C125" s="19" t="s">
        <v>318</v>
      </c>
      <c r="D125" s="19" t="s">
        <v>201</v>
      </c>
      <c r="E125" s="19">
        <v>8152</v>
      </c>
      <c r="F125" s="19">
        <v>3.5</v>
      </c>
      <c r="G125" s="19">
        <v>70</v>
      </c>
      <c r="H125" s="19" t="s">
        <v>98</v>
      </c>
      <c r="I125" s="19" t="s">
        <v>103</v>
      </c>
    </row>
    <row r="126" spans="1:9" ht="19.5" customHeight="1" x14ac:dyDescent="0.35">
      <c r="A126" s="20">
        <v>123</v>
      </c>
      <c r="B126" s="23" t="s">
        <v>319</v>
      </c>
      <c r="C126" s="21" t="s">
        <v>318</v>
      </c>
      <c r="D126" s="21" t="s">
        <v>201</v>
      </c>
      <c r="E126" s="21">
        <v>8152</v>
      </c>
      <c r="F126" s="21">
        <v>3.5</v>
      </c>
      <c r="G126" s="21">
        <v>70</v>
      </c>
      <c r="H126" s="21" t="s">
        <v>98</v>
      </c>
      <c r="I126" s="21" t="s">
        <v>103</v>
      </c>
    </row>
    <row r="127" spans="1:9" ht="19.5" customHeight="1" x14ac:dyDescent="0.35">
      <c r="A127" s="18">
        <v>124</v>
      </c>
      <c r="B127" s="24" t="s">
        <v>320</v>
      </c>
      <c r="C127" s="19" t="s">
        <v>318</v>
      </c>
      <c r="D127" s="19" t="s">
        <v>201</v>
      </c>
      <c r="E127" s="19">
        <v>8152</v>
      </c>
      <c r="F127" s="19">
        <v>3.5</v>
      </c>
      <c r="G127" s="19">
        <v>70</v>
      </c>
      <c r="H127" s="19" t="s">
        <v>98</v>
      </c>
      <c r="I127" s="19" t="s">
        <v>103</v>
      </c>
    </row>
    <row r="128" spans="1:9" ht="19.5" customHeight="1" x14ac:dyDescent="0.35">
      <c r="A128" s="20">
        <v>125</v>
      </c>
      <c r="B128" s="23" t="s">
        <v>321</v>
      </c>
      <c r="C128" s="21" t="s">
        <v>322</v>
      </c>
      <c r="D128" s="21" t="s">
        <v>97</v>
      </c>
      <c r="E128" s="21">
        <v>8051</v>
      </c>
      <c r="F128" s="21">
        <v>3.5</v>
      </c>
      <c r="G128" s="21"/>
      <c r="H128" s="21" t="s">
        <v>98</v>
      </c>
      <c r="I128" s="21" t="s">
        <v>136</v>
      </c>
    </row>
    <row r="129" spans="1:9" ht="19.5" customHeight="1" x14ac:dyDescent="0.35">
      <c r="A129" s="18">
        <v>126</v>
      </c>
      <c r="B129" s="24" t="s">
        <v>323</v>
      </c>
      <c r="C129" s="19" t="s">
        <v>210</v>
      </c>
      <c r="D129" s="19" t="s">
        <v>102</v>
      </c>
      <c r="E129" s="19">
        <v>8304</v>
      </c>
      <c r="F129" s="19">
        <v>2.5</v>
      </c>
      <c r="G129" s="19"/>
      <c r="H129" s="19" t="s">
        <v>98</v>
      </c>
      <c r="I129" s="19" t="s">
        <v>136</v>
      </c>
    </row>
    <row r="130" spans="1:9" ht="19.5" customHeight="1" x14ac:dyDescent="0.35">
      <c r="A130" s="20">
        <v>127</v>
      </c>
      <c r="B130" s="23" t="s">
        <v>324</v>
      </c>
      <c r="C130" s="21" t="s">
        <v>210</v>
      </c>
      <c r="D130" s="21" t="s">
        <v>102</v>
      </c>
      <c r="E130" s="21">
        <v>8304</v>
      </c>
      <c r="F130" s="21">
        <v>2.5</v>
      </c>
      <c r="G130" s="21">
        <v>2350</v>
      </c>
      <c r="H130" s="21" t="s">
        <v>98</v>
      </c>
      <c r="I130" s="21" t="s">
        <v>136</v>
      </c>
    </row>
    <row r="131" spans="1:9" ht="19.5" customHeight="1" x14ac:dyDescent="0.35">
      <c r="A131" s="18">
        <v>128</v>
      </c>
      <c r="B131" s="24" t="s">
        <v>325</v>
      </c>
      <c r="C131" s="19" t="s">
        <v>166</v>
      </c>
      <c r="D131" s="19" t="s">
        <v>102</v>
      </c>
      <c r="E131" s="19">
        <v>8304</v>
      </c>
      <c r="F131" s="19">
        <v>2.5</v>
      </c>
      <c r="G131" s="19">
        <v>70</v>
      </c>
      <c r="H131" s="19" t="s">
        <v>98</v>
      </c>
      <c r="I131" s="19" t="s">
        <v>103</v>
      </c>
    </row>
    <row r="132" spans="1:9" ht="19.5" customHeight="1" x14ac:dyDescent="0.35">
      <c r="A132" s="20">
        <v>129</v>
      </c>
      <c r="B132" s="23" t="s">
        <v>326</v>
      </c>
      <c r="C132" s="21" t="s">
        <v>327</v>
      </c>
      <c r="D132" s="21" t="s">
        <v>97</v>
      </c>
      <c r="E132" s="21">
        <v>8003</v>
      </c>
      <c r="F132" s="21">
        <v>1</v>
      </c>
      <c r="G132" s="21">
        <v>25</v>
      </c>
      <c r="H132" s="21" t="s">
        <v>98</v>
      </c>
      <c r="I132" s="21" t="s">
        <v>103</v>
      </c>
    </row>
    <row r="133" spans="1:9" ht="19.5" customHeight="1" x14ac:dyDescent="0.35">
      <c r="A133" s="18">
        <v>130</v>
      </c>
      <c r="B133" s="24" t="s">
        <v>328</v>
      </c>
      <c r="C133" s="19" t="s">
        <v>212</v>
      </c>
      <c r="D133" s="19" t="s">
        <v>97</v>
      </c>
      <c r="E133" s="19">
        <v>8003</v>
      </c>
      <c r="F133" s="19">
        <v>1</v>
      </c>
      <c r="G133" s="19">
        <v>25</v>
      </c>
      <c r="H133" s="19" t="s">
        <v>98</v>
      </c>
      <c r="I133" s="19" t="s">
        <v>103</v>
      </c>
    </row>
    <row r="134" spans="1:9" ht="19.5" customHeight="1" x14ac:dyDescent="0.35">
      <c r="A134" s="20">
        <v>131</v>
      </c>
      <c r="B134" s="23" t="s">
        <v>329</v>
      </c>
      <c r="C134" s="21" t="s">
        <v>330</v>
      </c>
      <c r="D134" s="21" t="s">
        <v>331</v>
      </c>
      <c r="E134" s="21">
        <v>3822</v>
      </c>
      <c r="F134" s="21">
        <v>6.5</v>
      </c>
      <c r="G134" s="21">
        <v>300</v>
      </c>
      <c r="H134" s="21" t="s">
        <v>118</v>
      </c>
      <c r="I134" s="21" t="s">
        <v>103</v>
      </c>
    </row>
    <row r="135" spans="1:9" ht="19.5" customHeight="1" x14ac:dyDescent="0.35">
      <c r="A135" s="18">
        <v>132</v>
      </c>
      <c r="B135" s="24" t="s">
        <v>332</v>
      </c>
      <c r="C135" s="19" t="s">
        <v>333</v>
      </c>
      <c r="D135" s="19" t="s">
        <v>97</v>
      </c>
      <c r="E135" s="19">
        <v>8045</v>
      </c>
      <c r="F135" s="19">
        <v>3.5</v>
      </c>
      <c r="G135" s="19">
        <v>80</v>
      </c>
      <c r="H135" s="19" t="s">
        <v>98</v>
      </c>
      <c r="I135" s="19"/>
    </row>
    <row r="136" spans="1:9" ht="19.5" customHeight="1" x14ac:dyDescent="0.35">
      <c r="A136" s="20">
        <v>133</v>
      </c>
      <c r="B136" s="23" t="s">
        <v>334</v>
      </c>
      <c r="C136" s="21" t="s">
        <v>335</v>
      </c>
      <c r="D136" s="21" t="s">
        <v>102</v>
      </c>
      <c r="E136" s="21">
        <v>8304</v>
      </c>
      <c r="F136" s="21">
        <v>5.5</v>
      </c>
      <c r="G136" s="21"/>
      <c r="H136" s="21" t="s">
        <v>98</v>
      </c>
      <c r="I136" s="21" t="s">
        <v>136</v>
      </c>
    </row>
    <row r="137" spans="1:9" ht="19.5" customHeight="1" x14ac:dyDescent="0.35">
      <c r="A137" s="18">
        <v>134</v>
      </c>
      <c r="B137" s="24" t="s">
        <v>336</v>
      </c>
      <c r="C137" s="19" t="s">
        <v>222</v>
      </c>
      <c r="D137" s="19" t="s">
        <v>223</v>
      </c>
      <c r="E137" s="19">
        <v>8135</v>
      </c>
      <c r="F137" s="19">
        <v>2.5</v>
      </c>
      <c r="G137" s="19">
        <v>50</v>
      </c>
      <c r="H137" s="19" t="s">
        <v>98</v>
      </c>
      <c r="I137" s="19" t="s">
        <v>103</v>
      </c>
    </row>
    <row r="138" spans="1:9" ht="19.5" customHeight="1" x14ac:dyDescent="0.35">
      <c r="A138" s="20">
        <v>135</v>
      </c>
      <c r="B138" s="23" t="s">
        <v>337</v>
      </c>
      <c r="C138" s="21" t="s">
        <v>338</v>
      </c>
      <c r="D138" s="21" t="s">
        <v>339</v>
      </c>
      <c r="E138" s="21">
        <v>8424</v>
      </c>
      <c r="F138" s="21">
        <v>4.5</v>
      </c>
      <c r="G138" s="21">
        <v>120</v>
      </c>
      <c r="H138" s="21" t="s">
        <v>118</v>
      </c>
      <c r="I138" s="21" t="s">
        <v>103</v>
      </c>
    </row>
    <row r="139" spans="1:9" ht="19.5" customHeight="1" x14ac:dyDescent="0.35">
      <c r="A139" s="18">
        <v>136</v>
      </c>
      <c r="B139" s="24" t="s">
        <v>340</v>
      </c>
      <c r="C139" s="19" t="s">
        <v>341</v>
      </c>
      <c r="D139" s="19" t="s">
        <v>102</v>
      </c>
      <c r="E139" s="19">
        <v>8304</v>
      </c>
      <c r="F139" s="19">
        <v>5.5</v>
      </c>
      <c r="G139" s="19"/>
      <c r="H139" s="19" t="s">
        <v>98</v>
      </c>
      <c r="I139" s="19" t="s">
        <v>136</v>
      </c>
    </row>
    <row r="140" spans="1:9" ht="19.5" customHeight="1" x14ac:dyDescent="0.35">
      <c r="A140" s="20">
        <v>137</v>
      </c>
      <c r="B140" s="23" t="s">
        <v>342</v>
      </c>
      <c r="C140" s="21" t="s">
        <v>343</v>
      </c>
      <c r="D140" s="21" t="s">
        <v>344</v>
      </c>
      <c r="E140" s="21">
        <v>6004</v>
      </c>
      <c r="F140" s="21">
        <v>2.5</v>
      </c>
      <c r="G140" s="21"/>
      <c r="H140" s="21" t="s">
        <v>98</v>
      </c>
      <c r="I140" s="21" t="s">
        <v>136</v>
      </c>
    </row>
    <row r="141" spans="1:9" ht="19.5" customHeight="1" x14ac:dyDescent="0.35">
      <c r="A141" s="18">
        <v>138</v>
      </c>
      <c r="B141" s="24" t="s">
        <v>345</v>
      </c>
      <c r="C141" s="19" t="s">
        <v>346</v>
      </c>
      <c r="D141" s="19" t="s">
        <v>344</v>
      </c>
      <c r="E141" s="19">
        <v>6004</v>
      </c>
      <c r="F141" s="19">
        <v>2.5</v>
      </c>
      <c r="G141" s="19"/>
      <c r="H141" s="19" t="s">
        <v>98</v>
      </c>
      <c r="I141" s="19" t="s">
        <v>136</v>
      </c>
    </row>
    <row r="142" spans="1:9" ht="19.5" customHeight="1" x14ac:dyDescent="0.35">
      <c r="A142" s="20">
        <v>139</v>
      </c>
      <c r="B142" s="23" t="s">
        <v>347</v>
      </c>
      <c r="C142" s="21" t="s">
        <v>348</v>
      </c>
      <c r="D142" s="21" t="s">
        <v>344</v>
      </c>
      <c r="E142" s="21">
        <v>6004</v>
      </c>
      <c r="F142" s="21">
        <v>2.5</v>
      </c>
      <c r="G142" s="21"/>
      <c r="H142" s="21" t="s">
        <v>98</v>
      </c>
      <c r="I142" s="21" t="s">
        <v>136</v>
      </c>
    </row>
    <row r="143" spans="1:9" ht="19.5" customHeight="1" x14ac:dyDescent="0.35">
      <c r="A143" s="18">
        <v>140</v>
      </c>
      <c r="B143" s="24" t="s">
        <v>349</v>
      </c>
      <c r="C143" s="19" t="s">
        <v>289</v>
      </c>
      <c r="D143" s="19" t="s">
        <v>102</v>
      </c>
      <c r="E143" s="19">
        <v>8304</v>
      </c>
      <c r="F143" s="19">
        <v>5.5</v>
      </c>
      <c r="G143" s="19">
        <v>300</v>
      </c>
      <c r="H143" s="19" t="s">
        <v>118</v>
      </c>
      <c r="I143" s="19" t="s">
        <v>103</v>
      </c>
    </row>
    <row r="144" spans="1:9" ht="19.5" customHeight="1" x14ac:dyDescent="0.35">
      <c r="A144" s="20">
        <v>141</v>
      </c>
      <c r="B144" s="23" t="s">
        <v>350</v>
      </c>
      <c r="C144" s="21" t="s">
        <v>291</v>
      </c>
      <c r="D144" s="21" t="s">
        <v>102</v>
      </c>
      <c r="E144" s="21">
        <v>8304</v>
      </c>
      <c r="F144" s="21">
        <v>3.5</v>
      </c>
      <c r="G144" s="21">
        <v>180</v>
      </c>
      <c r="H144" s="21" t="s">
        <v>118</v>
      </c>
      <c r="I144" s="21" t="s">
        <v>103</v>
      </c>
    </row>
    <row r="145" spans="1:9" ht="19.5" customHeight="1" x14ac:dyDescent="0.35">
      <c r="A145" s="18">
        <v>142</v>
      </c>
      <c r="B145" s="24" t="s">
        <v>351</v>
      </c>
      <c r="C145" s="19" t="s">
        <v>352</v>
      </c>
      <c r="D145" s="19" t="s">
        <v>223</v>
      </c>
      <c r="E145" s="19">
        <v>8135</v>
      </c>
      <c r="F145" s="19">
        <v>4.5</v>
      </c>
      <c r="G145" s="19">
        <v>100</v>
      </c>
      <c r="H145" s="19" t="s">
        <v>98</v>
      </c>
      <c r="I145" s="19" t="s">
        <v>103</v>
      </c>
    </row>
    <row r="146" spans="1:9" ht="19.5" customHeight="1" x14ac:dyDescent="0.35">
      <c r="A146" s="20">
        <v>143</v>
      </c>
      <c r="B146" s="23" t="s">
        <v>353</v>
      </c>
      <c r="C146" s="21" t="s">
        <v>354</v>
      </c>
      <c r="D146" s="21" t="s">
        <v>176</v>
      </c>
      <c r="E146" s="21">
        <v>6300</v>
      </c>
      <c r="F146" s="21"/>
      <c r="G146" s="21"/>
      <c r="H146" s="21" t="s">
        <v>98</v>
      </c>
      <c r="I146" s="21"/>
    </row>
    <row r="147" spans="1:9" ht="19.5" customHeight="1" x14ac:dyDescent="0.35">
      <c r="A147" s="18">
        <v>144</v>
      </c>
      <c r="B147" s="24" t="s">
        <v>355</v>
      </c>
      <c r="C147" s="19" t="s">
        <v>356</v>
      </c>
      <c r="D147" s="19" t="s">
        <v>145</v>
      </c>
      <c r="E147" s="19">
        <v>4058</v>
      </c>
      <c r="F147" s="19">
        <v>3.5</v>
      </c>
      <c r="G147" s="19">
        <v>65</v>
      </c>
      <c r="H147" s="19" t="s">
        <v>98</v>
      </c>
      <c r="I147" s="19" t="s">
        <v>103</v>
      </c>
    </row>
  </sheetData>
  <autoFilter ref="A3:L3" xr:uid="{00000000-0009-0000-0000-000002000000}"/>
  <mergeCells count="2">
    <mergeCell ref="A1:L1"/>
    <mergeCell ref="A2:L2"/>
  </mergeCells>
  <pageMargins left="0.75" right="0.75" top="1" bottom="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E6655"/>
  </sheetPr>
  <dimension ref="A1:AZ204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8" sqref="E8"/>
    </sheetView>
  </sheetViews>
  <sheetFormatPr defaultColWidth="8.6328125" defaultRowHeight="14.5" x14ac:dyDescent="0.35"/>
  <cols>
    <col min="1" max="1" width="6" customWidth="1"/>
    <col min="2" max="2" width="15" customWidth="1"/>
    <col min="3" max="3" width="16" customWidth="1"/>
    <col min="4" max="4" width="34" customWidth="1"/>
    <col min="5" max="5" width="22" customWidth="1"/>
    <col min="6" max="6" width="12" customWidth="1"/>
    <col min="7" max="7" width="20" customWidth="1"/>
    <col min="8" max="8" width="18" customWidth="1"/>
    <col min="9" max="9" width="22" customWidth="1"/>
    <col min="10" max="10" width="28" customWidth="1"/>
    <col min="11" max="11" width="12" customWidth="1"/>
    <col min="12" max="13" width="7" customWidth="1"/>
    <col min="14" max="14" width="9" customWidth="1"/>
    <col min="15" max="15" width="12" customWidth="1"/>
    <col min="16" max="17" width="16" customWidth="1"/>
    <col min="18" max="19" width="12" customWidth="1"/>
    <col min="20" max="20" width="9" customWidth="1"/>
    <col min="21" max="22" width="8" customWidth="1"/>
    <col min="23" max="24" width="10" customWidth="1"/>
    <col min="25" max="25" width="8" customWidth="1"/>
    <col min="26" max="29" width="13" customWidth="1"/>
    <col min="30" max="33" width="12" customWidth="1"/>
    <col min="34" max="34" width="13.7265625" customWidth="1"/>
    <col min="35" max="38" width="12" customWidth="1"/>
    <col min="39" max="40" width="14" customWidth="1"/>
    <col min="41" max="41" width="18" customWidth="1"/>
    <col min="42" max="42" width="14" customWidth="1"/>
    <col min="43" max="44" width="10" customWidth="1"/>
    <col min="45" max="47" width="13" customWidth="1"/>
    <col min="48" max="50" width="12" customWidth="1"/>
    <col min="51" max="51" width="28" customWidth="1"/>
    <col min="52" max="52" width="12" customWidth="1"/>
  </cols>
  <sheetData>
    <row r="1" spans="1:52" ht="36" customHeight="1" x14ac:dyDescent="0.35">
      <c r="A1" s="40" t="s">
        <v>357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</row>
    <row r="2" spans="1:52" ht="19.5" customHeight="1" x14ac:dyDescent="0.35">
      <c r="A2" s="41" t="s">
        <v>358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</row>
    <row r="3" spans="1:52" ht="24" customHeight="1" x14ac:dyDescent="0.35">
      <c r="A3" s="42" t="s">
        <v>359</v>
      </c>
      <c r="B3" s="42"/>
      <c r="C3" s="42"/>
      <c r="D3" s="42"/>
      <c r="E3" s="43" t="s">
        <v>360</v>
      </c>
      <c r="F3" s="43"/>
      <c r="G3" s="43"/>
      <c r="H3" s="43"/>
      <c r="I3" s="43"/>
      <c r="J3" s="44" t="s">
        <v>361</v>
      </c>
      <c r="K3" s="44"/>
      <c r="L3" s="44"/>
      <c r="M3" s="44"/>
      <c r="N3" s="44"/>
      <c r="O3" s="44"/>
      <c r="P3" s="44"/>
      <c r="Q3" s="50" t="s">
        <v>362</v>
      </c>
      <c r="R3" s="51"/>
      <c r="S3" s="51"/>
      <c r="T3" s="51"/>
      <c r="U3" s="51"/>
      <c r="V3" s="51"/>
      <c r="W3" s="51"/>
      <c r="X3" s="51"/>
      <c r="Y3" s="49" t="s">
        <v>363</v>
      </c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7" t="s">
        <v>364</v>
      </c>
      <c r="AW3" s="47"/>
      <c r="AX3" s="47"/>
      <c r="AY3" s="47"/>
      <c r="AZ3" s="47"/>
    </row>
    <row r="4" spans="1:52" ht="51.75" customHeight="1" x14ac:dyDescent="0.35">
      <c r="A4" s="12" t="s">
        <v>49</v>
      </c>
      <c r="B4" s="12" t="s">
        <v>365</v>
      </c>
      <c r="C4" s="12" t="s">
        <v>366</v>
      </c>
      <c r="D4" s="12" t="s">
        <v>367</v>
      </c>
      <c r="E4" s="13" t="s">
        <v>368</v>
      </c>
      <c r="F4" s="13" t="s">
        <v>369</v>
      </c>
      <c r="G4" s="13" t="s">
        <v>370</v>
      </c>
      <c r="H4" s="13" t="s">
        <v>371</v>
      </c>
      <c r="I4" s="13" t="s">
        <v>372</v>
      </c>
      <c r="J4" s="14" t="s">
        <v>373</v>
      </c>
      <c r="K4" s="14" t="s">
        <v>87</v>
      </c>
      <c r="L4" s="14" t="s">
        <v>89</v>
      </c>
      <c r="M4" s="14" t="s">
        <v>90</v>
      </c>
      <c r="N4" s="14" t="s">
        <v>374</v>
      </c>
      <c r="O4" s="14" t="s">
        <v>375</v>
      </c>
      <c r="P4" s="14" t="s">
        <v>376</v>
      </c>
      <c r="Q4" s="15" t="s">
        <v>507</v>
      </c>
      <c r="R4" s="15" t="s">
        <v>377</v>
      </c>
      <c r="S4" s="15" t="s">
        <v>378</v>
      </c>
      <c r="T4" s="15" t="s">
        <v>379</v>
      </c>
      <c r="U4" s="15" t="s">
        <v>380</v>
      </c>
      <c r="V4" s="15" t="s">
        <v>381</v>
      </c>
      <c r="W4" s="15" t="s">
        <v>382</v>
      </c>
      <c r="X4" s="15" t="s">
        <v>383</v>
      </c>
      <c r="Y4" s="25" t="s">
        <v>384</v>
      </c>
      <c r="Z4" s="25" t="s">
        <v>385</v>
      </c>
      <c r="AA4" s="25" t="s">
        <v>386</v>
      </c>
      <c r="AB4" s="25" t="s">
        <v>387</v>
      </c>
      <c r="AC4" s="25" t="s">
        <v>388</v>
      </c>
      <c r="AD4" s="25" t="s">
        <v>389</v>
      </c>
      <c r="AE4" s="25" t="s">
        <v>397</v>
      </c>
      <c r="AF4" s="25" t="s">
        <v>396</v>
      </c>
      <c r="AG4" s="25" t="s">
        <v>504</v>
      </c>
      <c r="AH4" s="25" t="s">
        <v>505</v>
      </c>
      <c r="AI4" s="25" t="s">
        <v>503</v>
      </c>
      <c r="AJ4" s="25" t="s">
        <v>506</v>
      </c>
      <c r="AK4" s="25" t="s">
        <v>390</v>
      </c>
      <c r="AL4" s="25" t="s">
        <v>391</v>
      </c>
      <c r="AM4" s="25" t="s">
        <v>392</v>
      </c>
      <c r="AN4" s="25" t="s">
        <v>393</v>
      </c>
      <c r="AO4" s="25" t="s">
        <v>394</v>
      </c>
      <c r="AP4" s="25" t="s">
        <v>395</v>
      </c>
      <c r="AQ4" s="25" t="s">
        <v>398</v>
      </c>
      <c r="AR4" s="25" t="s">
        <v>399</v>
      </c>
      <c r="AS4" s="25" t="s">
        <v>400</v>
      </c>
      <c r="AT4" s="25" t="s">
        <v>401</v>
      </c>
      <c r="AU4" s="26" t="s">
        <v>402</v>
      </c>
      <c r="AV4" s="17" t="s">
        <v>403</v>
      </c>
      <c r="AW4" s="17" t="s">
        <v>404</v>
      </c>
      <c r="AX4" s="17" t="s">
        <v>405</v>
      </c>
      <c r="AY4" s="17" t="s">
        <v>406</v>
      </c>
      <c r="AZ4" s="17" t="s">
        <v>407</v>
      </c>
    </row>
    <row r="5" spans="1:52" ht="21.75" customHeight="1" x14ac:dyDescent="0.35">
      <c r="A5" s="18">
        <f t="shared" ref="A5:A36" si="0">ROW()-4</f>
        <v>1</v>
      </c>
      <c r="B5" s="19"/>
      <c r="C5" s="27"/>
      <c r="D5" s="24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28"/>
      <c r="S5" s="28"/>
      <c r="T5" s="29" t="str">
        <f t="shared" ref="T5:T36" si="1">IF(AND(R5&lt;&gt;"",S5&lt;&gt;""),S5-R5,"")</f>
        <v/>
      </c>
      <c r="U5" s="19"/>
      <c r="V5" s="19"/>
      <c r="W5" s="19"/>
      <c r="X5" s="19"/>
      <c r="Y5" s="18" t="s">
        <v>408</v>
      </c>
      <c r="Z5" s="30"/>
      <c r="AA5" s="30" t="str">
        <f t="shared" ref="AA5:AA36" si="2">IF(Z5&lt;&gt;"",ROUND(Z5/30,2),"")</f>
        <v/>
      </c>
      <c r="AB5" s="30" t="str">
        <f t="shared" ref="AB5:AB36" si="3">IF(AND(Z5&lt;&gt;"",T5&lt;&gt;""),ROUND(Z5/30*T5,2),"")</f>
        <v/>
      </c>
      <c r="AC5" s="30"/>
      <c r="AD5" s="28"/>
      <c r="AE5" s="28"/>
      <c r="AF5" s="28"/>
      <c r="AG5" s="28"/>
      <c r="AH5" s="28"/>
      <c r="AI5" s="28"/>
      <c r="AJ5" s="28"/>
      <c r="AK5" s="30"/>
      <c r="AL5" s="28"/>
      <c r="AM5" s="19"/>
      <c r="AN5" s="30"/>
      <c r="AO5" s="30"/>
      <c r="AP5" s="30"/>
      <c r="AQ5" s="30"/>
      <c r="AR5" s="30"/>
      <c r="AS5" s="30" t="str">
        <f>IF(AB5&lt;&gt;"",AB5+IF(#REF!&lt;&gt;"",#REF!,0)+IF(AQ5&lt;&gt;"",AQ5,0)+IF(AR5&lt;&gt;"",AR5,0),"")</f>
        <v/>
      </c>
      <c r="AT5" s="30"/>
      <c r="AU5" s="30" t="str">
        <f t="shared" ref="AU5:AU36" si="4">IF(AS5&lt;&gt;"",AS5-IF(AT5&lt;&gt;"",AT5,0),"")</f>
        <v/>
      </c>
      <c r="AV5" s="19"/>
      <c r="AW5" s="19"/>
      <c r="AX5" s="19"/>
      <c r="AY5" s="19"/>
      <c r="AZ5" s="19"/>
    </row>
    <row r="6" spans="1:52" ht="21.75" customHeight="1" x14ac:dyDescent="0.35">
      <c r="A6" s="20">
        <f t="shared" si="0"/>
        <v>2</v>
      </c>
      <c r="B6" s="21"/>
      <c r="C6" s="31"/>
      <c r="D6" s="23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32"/>
      <c r="S6" s="32"/>
      <c r="T6" s="33" t="str">
        <f t="shared" si="1"/>
        <v/>
      </c>
      <c r="U6" s="21"/>
      <c r="V6" s="21"/>
      <c r="W6" s="21"/>
      <c r="X6" s="21"/>
      <c r="Y6" s="20" t="s">
        <v>408</v>
      </c>
      <c r="Z6" s="34"/>
      <c r="AA6" s="34" t="str">
        <f t="shared" si="2"/>
        <v/>
      </c>
      <c r="AB6" s="34" t="str">
        <f t="shared" si="3"/>
        <v/>
      </c>
      <c r="AC6" s="34"/>
      <c r="AD6" s="32"/>
      <c r="AE6" s="32"/>
      <c r="AF6" s="32"/>
      <c r="AG6" s="32"/>
      <c r="AH6" s="32"/>
      <c r="AI6" s="32"/>
      <c r="AJ6" s="32"/>
      <c r="AK6" s="34"/>
      <c r="AL6" s="32"/>
      <c r="AM6" s="21"/>
      <c r="AN6" s="34"/>
      <c r="AO6" s="34"/>
      <c r="AP6" s="34"/>
      <c r="AQ6" s="34"/>
      <c r="AR6" s="34"/>
      <c r="AS6" s="34" t="str">
        <f>IF(AB6&lt;&gt;"",AB6+IF(#REF!&lt;&gt;"",#REF!,0)+IF(AQ6&lt;&gt;"",AQ6,0)+IF(AR6&lt;&gt;"",AR6,0),"")</f>
        <v/>
      </c>
      <c r="AT6" s="34"/>
      <c r="AU6" s="34" t="str">
        <f t="shared" si="4"/>
        <v/>
      </c>
      <c r="AV6" s="21"/>
      <c r="AW6" s="21"/>
      <c r="AX6" s="21"/>
      <c r="AY6" s="21"/>
      <c r="AZ6" s="21"/>
    </row>
    <row r="7" spans="1:52" ht="21.75" customHeight="1" x14ac:dyDescent="0.35">
      <c r="A7" s="18">
        <f t="shared" si="0"/>
        <v>3</v>
      </c>
      <c r="B7" s="19"/>
      <c r="C7" s="27"/>
      <c r="D7" s="24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28"/>
      <c r="S7" s="28"/>
      <c r="T7" s="29" t="str">
        <f t="shared" si="1"/>
        <v/>
      </c>
      <c r="U7" s="19"/>
      <c r="V7" s="19"/>
      <c r="W7" s="19"/>
      <c r="X7" s="19"/>
      <c r="Y7" s="18" t="s">
        <v>408</v>
      </c>
      <c r="Z7" s="30"/>
      <c r="AA7" s="30" t="str">
        <f t="shared" si="2"/>
        <v/>
      </c>
      <c r="AB7" s="30" t="str">
        <f t="shared" si="3"/>
        <v/>
      </c>
      <c r="AC7" s="30"/>
      <c r="AD7" s="28"/>
      <c r="AE7" s="28"/>
      <c r="AF7" s="28"/>
      <c r="AG7" s="28"/>
      <c r="AH7" s="28"/>
      <c r="AI7" s="28"/>
      <c r="AJ7" s="28"/>
      <c r="AK7" s="30"/>
      <c r="AL7" s="28"/>
      <c r="AM7" s="19"/>
      <c r="AN7" s="30"/>
      <c r="AO7" s="30"/>
      <c r="AP7" s="30"/>
      <c r="AQ7" s="30"/>
      <c r="AR7" s="30"/>
      <c r="AS7" s="30" t="str">
        <f>IF(AB7&lt;&gt;"",AB7+IF(#REF!&lt;&gt;"",#REF!,0)+IF(AQ7&lt;&gt;"",AQ7,0)+IF(AR7&lt;&gt;"",AR7,0),"")</f>
        <v/>
      </c>
      <c r="AT7" s="30"/>
      <c r="AU7" s="30" t="str">
        <f t="shared" si="4"/>
        <v/>
      </c>
      <c r="AV7" s="19"/>
      <c r="AW7" s="19"/>
      <c r="AX7" s="19"/>
      <c r="AY7" s="19"/>
      <c r="AZ7" s="19"/>
    </row>
    <row r="8" spans="1:52" ht="21.75" customHeight="1" x14ac:dyDescent="0.35">
      <c r="A8" s="20">
        <f t="shared" si="0"/>
        <v>4</v>
      </c>
      <c r="B8" s="21"/>
      <c r="C8" s="31"/>
      <c r="D8" s="23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32"/>
      <c r="S8" s="32"/>
      <c r="T8" s="33" t="str">
        <f t="shared" si="1"/>
        <v/>
      </c>
      <c r="U8" s="21"/>
      <c r="V8" s="21"/>
      <c r="W8" s="21"/>
      <c r="X8" s="21"/>
      <c r="Y8" s="20" t="s">
        <v>408</v>
      </c>
      <c r="Z8" s="34"/>
      <c r="AA8" s="34" t="str">
        <f t="shared" si="2"/>
        <v/>
      </c>
      <c r="AB8" s="34" t="str">
        <f t="shared" si="3"/>
        <v/>
      </c>
      <c r="AC8" s="34"/>
      <c r="AD8" s="32"/>
      <c r="AE8" s="32"/>
      <c r="AF8" s="32"/>
      <c r="AG8" s="32"/>
      <c r="AH8" s="32"/>
      <c r="AI8" s="32"/>
      <c r="AJ8" s="32"/>
      <c r="AK8" s="34"/>
      <c r="AL8" s="32"/>
      <c r="AM8" s="21"/>
      <c r="AN8" s="34"/>
      <c r="AO8" s="34"/>
      <c r="AP8" s="34"/>
      <c r="AQ8" s="34"/>
      <c r="AR8" s="34"/>
      <c r="AS8" s="34" t="str">
        <f>IF(AB8&lt;&gt;"",AB8+IF(#REF!&lt;&gt;"",#REF!,0)+IF(AQ8&lt;&gt;"",AQ8,0)+IF(AR8&lt;&gt;"",AR8,0),"")</f>
        <v/>
      </c>
      <c r="AT8" s="34"/>
      <c r="AU8" s="34" t="str">
        <f t="shared" si="4"/>
        <v/>
      </c>
      <c r="AV8" s="21"/>
      <c r="AW8" s="21"/>
      <c r="AX8" s="21"/>
      <c r="AY8" s="21"/>
      <c r="AZ8" s="21"/>
    </row>
    <row r="9" spans="1:52" ht="21.75" customHeight="1" x14ac:dyDescent="0.35">
      <c r="A9" s="18">
        <f t="shared" si="0"/>
        <v>5</v>
      </c>
      <c r="B9" s="19"/>
      <c r="C9" s="27"/>
      <c r="D9" s="24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8"/>
      <c r="S9" s="28"/>
      <c r="T9" s="29" t="str">
        <f t="shared" si="1"/>
        <v/>
      </c>
      <c r="U9" s="19"/>
      <c r="V9" s="19"/>
      <c r="W9" s="19"/>
      <c r="X9" s="19"/>
      <c r="Y9" s="18" t="s">
        <v>408</v>
      </c>
      <c r="Z9" s="30"/>
      <c r="AA9" s="30" t="str">
        <f t="shared" si="2"/>
        <v/>
      </c>
      <c r="AB9" s="30" t="str">
        <f t="shared" si="3"/>
        <v/>
      </c>
      <c r="AC9" s="30"/>
      <c r="AD9" s="28"/>
      <c r="AE9" s="28"/>
      <c r="AF9" s="28"/>
      <c r="AG9" s="28"/>
      <c r="AH9" s="28"/>
      <c r="AI9" s="28"/>
      <c r="AJ9" s="28"/>
      <c r="AK9" s="30"/>
      <c r="AL9" s="28"/>
      <c r="AM9" s="19"/>
      <c r="AN9" s="30"/>
      <c r="AO9" s="30"/>
      <c r="AP9" s="30"/>
      <c r="AQ9" s="30"/>
      <c r="AR9" s="30"/>
      <c r="AS9" s="30" t="str">
        <f>IF(AB9&lt;&gt;"",AB9+IF(#REF!&lt;&gt;"",#REF!,0)+IF(AQ9&lt;&gt;"",AQ9,0)+IF(AR9&lt;&gt;"",AR9,0),"")</f>
        <v/>
      </c>
      <c r="AT9" s="30"/>
      <c r="AU9" s="30" t="str">
        <f t="shared" si="4"/>
        <v/>
      </c>
      <c r="AV9" s="19"/>
      <c r="AW9" s="19"/>
      <c r="AX9" s="19"/>
      <c r="AY9" s="19"/>
      <c r="AZ9" s="19"/>
    </row>
    <row r="10" spans="1:52" ht="21.75" customHeight="1" x14ac:dyDescent="0.35">
      <c r="A10" s="20">
        <f t="shared" si="0"/>
        <v>6</v>
      </c>
      <c r="B10" s="21"/>
      <c r="C10" s="31"/>
      <c r="D10" s="23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32"/>
      <c r="S10" s="32"/>
      <c r="T10" s="33" t="str">
        <f t="shared" si="1"/>
        <v/>
      </c>
      <c r="U10" s="21"/>
      <c r="V10" s="21"/>
      <c r="W10" s="21"/>
      <c r="X10" s="21"/>
      <c r="Y10" s="20" t="s">
        <v>408</v>
      </c>
      <c r="Z10" s="34"/>
      <c r="AA10" s="34" t="str">
        <f t="shared" si="2"/>
        <v/>
      </c>
      <c r="AB10" s="34" t="str">
        <f t="shared" si="3"/>
        <v/>
      </c>
      <c r="AC10" s="34"/>
      <c r="AD10" s="32"/>
      <c r="AE10" s="32"/>
      <c r="AF10" s="32"/>
      <c r="AG10" s="32"/>
      <c r="AH10" s="32"/>
      <c r="AI10" s="32"/>
      <c r="AJ10" s="32"/>
      <c r="AK10" s="34"/>
      <c r="AL10" s="32"/>
      <c r="AM10" s="21"/>
      <c r="AN10" s="34"/>
      <c r="AO10" s="34"/>
      <c r="AP10" s="34"/>
      <c r="AQ10" s="34"/>
      <c r="AR10" s="34"/>
      <c r="AS10" s="34" t="str">
        <f>IF(AB10&lt;&gt;"",AB10+IF(#REF!&lt;&gt;"",#REF!,0)+IF(AQ10&lt;&gt;"",AQ10,0)+IF(AR10&lt;&gt;"",AR10,0),"")</f>
        <v/>
      </c>
      <c r="AT10" s="34"/>
      <c r="AU10" s="34" t="str">
        <f t="shared" si="4"/>
        <v/>
      </c>
      <c r="AV10" s="21"/>
      <c r="AW10" s="21"/>
      <c r="AX10" s="21"/>
      <c r="AY10" s="21"/>
      <c r="AZ10" s="21"/>
    </row>
    <row r="11" spans="1:52" ht="21.75" customHeight="1" x14ac:dyDescent="0.35">
      <c r="A11" s="18">
        <f t="shared" si="0"/>
        <v>7</v>
      </c>
      <c r="B11" s="19"/>
      <c r="C11" s="27"/>
      <c r="D11" s="24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28"/>
      <c r="S11" s="28"/>
      <c r="T11" s="29" t="str">
        <f t="shared" si="1"/>
        <v/>
      </c>
      <c r="U11" s="19"/>
      <c r="V11" s="19"/>
      <c r="W11" s="19"/>
      <c r="X11" s="19"/>
      <c r="Y11" s="18" t="s">
        <v>408</v>
      </c>
      <c r="Z11" s="30"/>
      <c r="AA11" s="30" t="str">
        <f t="shared" si="2"/>
        <v/>
      </c>
      <c r="AB11" s="30" t="str">
        <f t="shared" si="3"/>
        <v/>
      </c>
      <c r="AC11" s="30"/>
      <c r="AD11" s="28"/>
      <c r="AE11" s="28"/>
      <c r="AF11" s="28"/>
      <c r="AG11" s="28"/>
      <c r="AH11" s="28"/>
      <c r="AI11" s="28"/>
      <c r="AJ11" s="28"/>
      <c r="AK11" s="30"/>
      <c r="AL11" s="28"/>
      <c r="AM11" s="19"/>
      <c r="AN11" s="30"/>
      <c r="AO11" s="30"/>
      <c r="AP11" s="30"/>
      <c r="AQ11" s="30"/>
      <c r="AR11" s="30"/>
      <c r="AS11" s="30" t="str">
        <f>IF(AB11&lt;&gt;"",AB11+IF(#REF!&lt;&gt;"",#REF!,0)+IF(AQ11&lt;&gt;"",AQ11,0)+IF(AR11&lt;&gt;"",AR11,0),"")</f>
        <v/>
      </c>
      <c r="AT11" s="30"/>
      <c r="AU11" s="30" t="str">
        <f t="shared" si="4"/>
        <v/>
      </c>
      <c r="AV11" s="19"/>
      <c r="AW11" s="19"/>
      <c r="AX11" s="19"/>
      <c r="AY11" s="19"/>
      <c r="AZ11" s="19"/>
    </row>
    <row r="12" spans="1:52" ht="21.75" customHeight="1" x14ac:dyDescent="0.35">
      <c r="A12" s="20">
        <f t="shared" si="0"/>
        <v>8</v>
      </c>
      <c r="B12" s="21"/>
      <c r="C12" s="31"/>
      <c r="D12" s="23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32"/>
      <c r="S12" s="32"/>
      <c r="T12" s="33" t="str">
        <f t="shared" si="1"/>
        <v/>
      </c>
      <c r="U12" s="21"/>
      <c r="V12" s="21"/>
      <c r="W12" s="21"/>
      <c r="X12" s="21"/>
      <c r="Y12" s="20" t="s">
        <v>408</v>
      </c>
      <c r="Z12" s="34"/>
      <c r="AA12" s="34" t="str">
        <f t="shared" si="2"/>
        <v/>
      </c>
      <c r="AB12" s="34" t="str">
        <f t="shared" si="3"/>
        <v/>
      </c>
      <c r="AC12" s="34"/>
      <c r="AD12" s="32"/>
      <c r="AE12" s="32"/>
      <c r="AF12" s="32"/>
      <c r="AG12" s="32"/>
      <c r="AH12" s="32"/>
      <c r="AI12" s="32"/>
      <c r="AJ12" s="32"/>
      <c r="AK12" s="34"/>
      <c r="AL12" s="32"/>
      <c r="AM12" s="21"/>
      <c r="AN12" s="34"/>
      <c r="AO12" s="34"/>
      <c r="AP12" s="34"/>
      <c r="AQ12" s="34"/>
      <c r="AR12" s="34"/>
      <c r="AS12" s="34" t="str">
        <f>IF(AB12&lt;&gt;"",AB12+IF(#REF!&lt;&gt;"",#REF!,0)+IF(AQ12&lt;&gt;"",AQ12,0)+IF(AR12&lt;&gt;"",AR12,0),"")</f>
        <v/>
      </c>
      <c r="AT12" s="34"/>
      <c r="AU12" s="34" t="str">
        <f t="shared" si="4"/>
        <v/>
      </c>
      <c r="AV12" s="21"/>
      <c r="AW12" s="21"/>
      <c r="AX12" s="21"/>
      <c r="AY12" s="21"/>
      <c r="AZ12" s="21"/>
    </row>
    <row r="13" spans="1:52" ht="21.75" customHeight="1" x14ac:dyDescent="0.35">
      <c r="A13" s="18">
        <f t="shared" si="0"/>
        <v>9</v>
      </c>
      <c r="B13" s="19"/>
      <c r="C13" s="27"/>
      <c r="D13" s="24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28"/>
      <c r="S13" s="28"/>
      <c r="T13" s="29" t="str">
        <f t="shared" si="1"/>
        <v/>
      </c>
      <c r="U13" s="19"/>
      <c r="V13" s="19"/>
      <c r="W13" s="19"/>
      <c r="X13" s="19"/>
      <c r="Y13" s="18" t="s">
        <v>408</v>
      </c>
      <c r="Z13" s="30"/>
      <c r="AA13" s="30" t="str">
        <f t="shared" si="2"/>
        <v/>
      </c>
      <c r="AB13" s="30" t="str">
        <f t="shared" si="3"/>
        <v/>
      </c>
      <c r="AC13" s="30"/>
      <c r="AD13" s="28"/>
      <c r="AE13" s="28"/>
      <c r="AF13" s="28"/>
      <c r="AG13" s="28"/>
      <c r="AH13" s="28"/>
      <c r="AI13" s="28"/>
      <c r="AJ13" s="28"/>
      <c r="AK13" s="30"/>
      <c r="AL13" s="28"/>
      <c r="AM13" s="19"/>
      <c r="AN13" s="30"/>
      <c r="AO13" s="30"/>
      <c r="AP13" s="30"/>
      <c r="AQ13" s="30"/>
      <c r="AR13" s="30"/>
      <c r="AS13" s="30" t="str">
        <f>IF(AB13&lt;&gt;"",AB13+IF(#REF!&lt;&gt;"",#REF!,0)+IF(AQ13&lt;&gt;"",AQ13,0)+IF(AR13&lt;&gt;"",AR13,0),"")</f>
        <v/>
      </c>
      <c r="AT13" s="30"/>
      <c r="AU13" s="30" t="str">
        <f t="shared" si="4"/>
        <v/>
      </c>
      <c r="AV13" s="19"/>
      <c r="AW13" s="19"/>
      <c r="AX13" s="19"/>
      <c r="AY13" s="19"/>
      <c r="AZ13" s="19"/>
    </row>
    <row r="14" spans="1:52" ht="21.75" customHeight="1" x14ac:dyDescent="0.35">
      <c r="A14" s="20">
        <f t="shared" si="0"/>
        <v>10</v>
      </c>
      <c r="B14" s="21"/>
      <c r="C14" s="31"/>
      <c r="D14" s="23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32"/>
      <c r="S14" s="32"/>
      <c r="T14" s="33" t="str">
        <f t="shared" si="1"/>
        <v/>
      </c>
      <c r="U14" s="21"/>
      <c r="V14" s="21"/>
      <c r="W14" s="21"/>
      <c r="X14" s="21"/>
      <c r="Y14" s="20" t="s">
        <v>408</v>
      </c>
      <c r="Z14" s="34"/>
      <c r="AA14" s="34" t="str">
        <f t="shared" si="2"/>
        <v/>
      </c>
      <c r="AB14" s="34" t="str">
        <f t="shared" si="3"/>
        <v/>
      </c>
      <c r="AC14" s="34"/>
      <c r="AD14" s="32"/>
      <c r="AE14" s="32"/>
      <c r="AF14" s="32"/>
      <c r="AG14" s="32"/>
      <c r="AH14" s="32"/>
      <c r="AI14" s="32"/>
      <c r="AJ14" s="32"/>
      <c r="AK14" s="34"/>
      <c r="AL14" s="32"/>
      <c r="AM14" s="21"/>
      <c r="AN14" s="34"/>
      <c r="AO14" s="34"/>
      <c r="AP14" s="34"/>
      <c r="AQ14" s="34"/>
      <c r="AR14" s="34"/>
      <c r="AS14" s="34" t="str">
        <f>IF(AB14&lt;&gt;"",AB14+IF(#REF!&lt;&gt;"",#REF!,0)+IF(AQ14&lt;&gt;"",AQ14,0)+IF(AR14&lt;&gt;"",AR14,0),"")</f>
        <v/>
      </c>
      <c r="AT14" s="34"/>
      <c r="AU14" s="34" t="str">
        <f t="shared" si="4"/>
        <v/>
      </c>
      <c r="AV14" s="21"/>
      <c r="AW14" s="21"/>
      <c r="AX14" s="21"/>
      <c r="AY14" s="21"/>
      <c r="AZ14" s="21"/>
    </row>
    <row r="15" spans="1:52" ht="21.75" customHeight="1" x14ac:dyDescent="0.35">
      <c r="A15" s="18">
        <f t="shared" si="0"/>
        <v>11</v>
      </c>
      <c r="B15" s="19"/>
      <c r="C15" s="27"/>
      <c r="D15" s="24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28"/>
      <c r="S15" s="28"/>
      <c r="T15" s="29" t="str">
        <f t="shared" si="1"/>
        <v/>
      </c>
      <c r="U15" s="19"/>
      <c r="V15" s="19"/>
      <c r="W15" s="19"/>
      <c r="X15" s="19"/>
      <c r="Y15" s="18" t="s">
        <v>408</v>
      </c>
      <c r="Z15" s="30"/>
      <c r="AA15" s="30" t="str">
        <f t="shared" si="2"/>
        <v/>
      </c>
      <c r="AB15" s="30" t="str">
        <f t="shared" si="3"/>
        <v/>
      </c>
      <c r="AC15" s="30"/>
      <c r="AD15" s="28"/>
      <c r="AE15" s="28"/>
      <c r="AF15" s="28"/>
      <c r="AG15" s="28"/>
      <c r="AH15" s="28"/>
      <c r="AI15" s="28"/>
      <c r="AJ15" s="28"/>
      <c r="AK15" s="30"/>
      <c r="AL15" s="28"/>
      <c r="AM15" s="19"/>
      <c r="AN15" s="30"/>
      <c r="AO15" s="30"/>
      <c r="AP15" s="30"/>
      <c r="AQ15" s="30"/>
      <c r="AR15" s="30"/>
      <c r="AS15" s="30" t="str">
        <f>IF(AB15&lt;&gt;"",AB15+IF(#REF!&lt;&gt;"",#REF!,0)+IF(AQ15&lt;&gt;"",AQ15,0)+IF(AR15&lt;&gt;"",AR15,0),"")</f>
        <v/>
      </c>
      <c r="AT15" s="30"/>
      <c r="AU15" s="30" t="str">
        <f t="shared" si="4"/>
        <v/>
      </c>
      <c r="AV15" s="19"/>
      <c r="AW15" s="19"/>
      <c r="AX15" s="19"/>
      <c r="AY15" s="19"/>
      <c r="AZ15" s="19"/>
    </row>
    <row r="16" spans="1:52" ht="21.75" customHeight="1" x14ac:dyDescent="0.35">
      <c r="A16" s="20">
        <f t="shared" si="0"/>
        <v>12</v>
      </c>
      <c r="B16" s="21"/>
      <c r="C16" s="31"/>
      <c r="D16" s="23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32"/>
      <c r="S16" s="32"/>
      <c r="T16" s="33" t="str">
        <f t="shared" si="1"/>
        <v/>
      </c>
      <c r="U16" s="21"/>
      <c r="V16" s="21"/>
      <c r="W16" s="21"/>
      <c r="X16" s="21"/>
      <c r="Y16" s="20" t="s">
        <v>408</v>
      </c>
      <c r="Z16" s="34"/>
      <c r="AA16" s="34" t="str">
        <f t="shared" si="2"/>
        <v/>
      </c>
      <c r="AB16" s="34" t="str">
        <f t="shared" si="3"/>
        <v/>
      </c>
      <c r="AC16" s="34"/>
      <c r="AD16" s="32"/>
      <c r="AE16" s="32"/>
      <c r="AF16" s="32"/>
      <c r="AG16" s="32"/>
      <c r="AH16" s="32"/>
      <c r="AI16" s="32"/>
      <c r="AJ16" s="32"/>
      <c r="AK16" s="34"/>
      <c r="AL16" s="32"/>
      <c r="AM16" s="21"/>
      <c r="AN16" s="34"/>
      <c r="AO16" s="34"/>
      <c r="AP16" s="34"/>
      <c r="AQ16" s="34"/>
      <c r="AR16" s="34"/>
      <c r="AS16" s="34" t="str">
        <f>IF(AB16&lt;&gt;"",AB16+IF(#REF!&lt;&gt;"",#REF!,0)+IF(AQ16&lt;&gt;"",AQ16,0)+IF(AR16&lt;&gt;"",AR16,0),"")</f>
        <v/>
      </c>
      <c r="AT16" s="34"/>
      <c r="AU16" s="34" t="str">
        <f t="shared" si="4"/>
        <v/>
      </c>
      <c r="AV16" s="21"/>
      <c r="AW16" s="21"/>
      <c r="AX16" s="21"/>
      <c r="AY16" s="21"/>
      <c r="AZ16" s="21"/>
    </row>
    <row r="17" spans="1:52" ht="21.75" customHeight="1" x14ac:dyDescent="0.35">
      <c r="A17" s="18">
        <f t="shared" si="0"/>
        <v>13</v>
      </c>
      <c r="B17" s="19"/>
      <c r="C17" s="27"/>
      <c r="D17" s="24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28"/>
      <c r="S17" s="28"/>
      <c r="T17" s="29" t="str">
        <f t="shared" si="1"/>
        <v/>
      </c>
      <c r="U17" s="19"/>
      <c r="V17" s="19"/>
      <c r="W17" s="19"/>
      <c r="X17" s="19"/>
      <c r="Y17" s="18" t="s">
        <v>408</v>
      </c>
      <c r="Z17" s="30"/>
      <c r="AA17" s="30" t="str">
        <f t="shared" si="2"/>
        <v/>
      </c>
      <c r="AB17" s="30" t="str">
        <f t="shared" si="3"/>
        <v/>
      </c>
      <c r="AC17" s="30"/>
      <c r="AD17" s="28"/>
      <c r="AE17" s="28"/>
      <c r="AF17" s="28"/>
      <c r="AG17" s="28"/>
      <c r="AH17" s="28"/>
      <c r="AI17" s="28"/>
      <c r="AJ17" s="28"/>
      <c r="AK17" s="30"/>
      <c r="AL17" s="28"/>
      <c r="AM17" s="19"/>
      <c r="AN17" s="30"/>
      <c r="AO17" s="30"/>
      <c r="AP17" s="30"/>
      <c r="AQ17" s="30"/>
      <c r="AR17" s="30"/>
      <c r="AS17" s="30" t="str">
        <f>IF(AB17&lt;&gt;"",AB17+IF(#REF!&lt;&gt;"",#REF!,0)+IF(AQ17&lt;&gt;"",AQ17,0)+IF(AR17&lt;&gt;"",AR17,0),"")</f>
        <v/>
      </c>
      <c r="AT17" s="30"/>
      <c r="AU17" s="30" t="str">
        <f t="shared" si="4"/>
        <v/>
      </c>
      <c r="AV17" s="19"/>
      <c r="AW17" s="19"/>
      <c r="AX17" s="19"/>
      <c r="AY17" s="19"/>
      <c r="AZ17" s="19"/>
    </row>
    <row r="18" spans="1:52" ht="21.75" customHeight="1" x14ac:dyDescent="0.35">
      <c r="A18" s="20">
        <f t="shared" si="0"/>
        <v>14</v>
      </c>
      <c r="B18" s="21"/>
      <c r="C18" s="31"/>
      <c r="D18" s="23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32"/>
      <c r="S18" s="32"/>
      <c r="T18" s="33" t="str">
        <f t="shared" si="1"/>
        <v/>
      </c>
      <c r="U18" s="21"/>
      <c r="V18" s="21"/>
      <c r="W18" s="21"/>
      <c r="X18" s="21"/>
      <c r="Y18" s="20" t="s">
        <v>408</v>
      </c>
      <c r="Z18" s="34"/>
      <c r="AA18" s="34" t="str">
        <f t="shared" si="2"/>
        <v/>
      </c>
      <c r="AB18" s="34" t="str">
        <f t="shared" si="3"/>
        <v/>
      </c>
      <c r="AC18" s="34"/>
      <c r="AD18" s="32"/>
      <c r="AE18" s="32"/>
      <c r="AF18" s="32"/>
      <c r="AG18" s="32"/>
      <c r="AH18" s="32"/>
      <c r="AI18" s="32"/>
      <c r="AJ18" s="32"/>
      <c r="AK18" s="34"/>
      <c r="AL18" s="32"/>
      <c r="AM18" s="21"/>
      <c r="AN18" s="34"/>
      <c r="AO18" s="34"/>
      <c r="AP18" s="34"/>
      <c r="AQ18" s="34"/>
      <c r="AR18" s="34"/>
      <c r="AS18" s="34" t="str">
        <f>IF(AB18&lt;&gt;"",AB18+IF(#REF!&lt;&gt;"",#REF!,0)+IF(AQ18&lt;&gt;"",AQ18,0)+IF(AR18&lt;&gt;"",AR18,0),"")</f>
        <v/>
      </c>
      <c r="AT18" s="34"/>
      <c r="AU18" s="34" t="str">
        <f t="shared" si="4"/>
        <v/>
      </c>
      <c r="AV18" s="21"/>
      <c r="AW18" s="21"/>
      <c r="AX18" s="21"/>
      <c r="AY18" s="21"/>
      <c r="AZ18" s="21"/>
    </row>
    <row r="19" spans="1:52" ht="21.75" customHeight="1" x14ac:dyDescent="0.35">
      <c r="A19" s="18">
        <f t="shared" si="0"/>
        <v>15</v>
      </c>
      <c r="B19" s="19"/>
      <c r="C19" s="27"/>
      <c r="D19" s="24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8"/>
      <c r="S19" s="28"/>
      <c r="T19" s="29" t="str">
        <f t="shared" si="1"/>
        <v/>
      </c>
      <c r="U19" s="19"/>
      <c r="V19" s="19"/>
      <c r="W19" s="19"/>
      <c r="X19" s="19"/>
      <c r="Y19" s="18" t="s">
        <v>408</v>
      </c>
      <c r="Z19" s="30"/>
      <c r="AA19" s="30" t="str">
        <f t="shared" si="2"/>
        <v/>
      </c>
      <c r="AB19" s="30" t="str">
        <f t="shared" si="3"/>
        <v/>
      </c>
      <c r="AC19" s="30"/>
      <c r="AD19" s="28"/>
      <c r="AE19" s="28"/>
      <c r="AF19" s="28"/>
      <c r="AG19" s="28"/>
      <c r="AH19" s="28"/>
      <c r="AI19" s="28"/>
      <c r="AJ19" s="28"/>
      <c r="AK19" s="30"/>
      <c r="AL19" s="28"/>
      <c r="AM19" s="19"/>
      <c r="AN19" s="30"/>
      <c r="AO19" s="30"/>
      <c r="AP19" s="30"/>
      <c r="AQ19" s="30"/>
      <c r="AR19" s="30"/>
      <c r="AS19" s="30" t="str">
        <f>IF(AB19&lt;&gt;"",AB19+IF(#REF!&lt;&gt;"",#REF!,0)+IF(AQ19&lt;&gt;"",AQ19,0)+IF(AR19&lt;&gt;"",AR19,0),"")</f>
        <v/>
      </c>
      <c r="AT19" s="30"/>
      <c r="AU19" s="30" t="str">
        <f t="shared" si="4"/>
        <v/>
      </c>
      <c r="AV19" s="19"/>
      <c r="AW19" s="19"/>
      <c r="AX19" s="19"/>
      <c r="AY19" s="19"/>
      <c r="AZ19" s="19"/>
    </row>
    <row r="20" spans="1:52" ht="21.75" customHeight="1" x14ac:dyDescent="0.35">
      <c r="A20" s="20">
        <f t="shared" si="0"/>
        <v>16</v>
      </c>
      <c r="B20" s="21"/>
      <c r="C20" s="31"/>
      <c r="D20" s="23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32"/>
      <c r="S20" s="32"/>
      <c r="T20" s="33" t="str">
        <f t="shared" si="1"/>
        <v/>
      </c>
      <c r="U20" s="21"/>
      <c r="V20" s="21"/>
      <c r="W20" s="21"/>
      <c r="X20" s="21"/>
      <c r="Y20" s="20" t="s">
        <v>408</v>
      </c>
      <c r="Z20" s="34"/>
      <c r="AA20" s="34" t="str">
        <f t="shared" si="2"/>
        <v/>
      </c>
      <c r="AB20" s="34" t="str">
        <f t="shared" si="3"/>
        <v/>
      </c>
      <c r="AC20" s="34"/>
      <c r="AD20" s="32"/>
      <c r="AE20" s="32"/>
      <c r="AF20" s="32"/>
      <c r="AG20" s="32"/>
      <c r="AH20" s="32"/>
      <c r="AI20" s="32"/>
      <c r="AJ20" s="32"/>
      <c r="AK20" s="34"/>
      <c r="AL20" s="32"/>
      <c r="AM20" s="21"/>
      <c r="AN20" s="34"/>
      <c r="AO20" s="34"/>
      <c r="AP20" s="34"/>
      <c r="AQ20" s="34"/>
      <c r="AR20" s="34"/>
      <c r="AS20" s="34" t="str">
        <f>IF(AB20&lt;&gt;"",AB20+IF(#REF!&lt;&gt;"",#REF!,0)+IF(AQ20&lt;&gt;"",AQ20,0)+IF(AR20&lt;&gt;"",AR20,0),"")</f>
        <v/>
      </c>
      <c r="AT20" s="34"/>
      <c r="AU20" s="34" t="str">
        <f t="shared" si="4"/>
        <v/>
      </c>
      <c r="AV20" s="21"/>
      <c r="AW20" s="21"/>
      <c r="AX20" s="21"/>
      <c r="AY20" s="21"/>
      <c r="AZ20" s="21"/>
    </row>
    <row r="21" spans="1:52" ht="21.75" customHeight="1" x14ac:dyDescent="0.35">
      <c r="A21" s="18">
        <f t="shared" si="0"/>
        <v>17</v>
      </c>
      <c r="B21" s="19"/>
      <c r="C21" s="27"/>
      <c r="D21" s="24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8"/>
      <c r="S21" s="28"/>
      <c r="T21" s="29" t="str">
        <f t="shared" si="1"/>
        <v/>
      </c>
      <c r="U21" s="19"/>
      <c r="V21" s="19"/>
      <c r="W21" s="19"/>
      <c r="X21" s="19"/>
      <c r="Y21" s="18" t="s">
        <v>408</v>
      </c>
      <c r="Z21" s="30"/>
      <c r="AA21" s="30" t="str">
        <f t="shared" si="2"/>
        <v/>
      </c>
      <c r="AB21" s="30" t="str">
        <f t="shared" si="3"/>
        <v/>
      </c>
      <c r="AC21" s="30"/>
      <c r="AD21" s="28"/>
      <c r="AE21" s="28"/>
      <c r="AF21" s="28"/>
      <c r="AG21" s="28"/>
      <c r="AH21" s="28"/>
      <c r="AI21" s="28"/>
      <c r="AJ21" s="28"/>
      <c r="AK21" s="30"/>
      <c r="AL21" s="28"/>
      <c r="AM21" s="19"/>
      <c r="AN21" s="30"/>
      <c r="AO21" s="30"/>
      <c r="AP21" s="30"/>
      <c r="AQ21" s="30"/>
      <c r="AR21" s="30"/>
      <c r="AS21" s="30" t="str">
        <f>IF(AB21&lt;&gt;"",AB21+IF(#REF!&lt;&gt;"",#REF!,0)+IF(AQ21&lt;&gt;"",AQ21,0)+IF(AR21&lt;&gt;"",AR21,0),"")</f>
        <v/>
      </c>
      <c r="AT21" s="30"/>
      <c r="AU21" s="30" t="str">
        <f t="shared" si="4"/>
        <v/>
      </c>
      <c r="AV21" s="19"/>
      <c r="AW21" s="19"/>
      <c r="AX21" s="19"/>
      <c r="AY21" s="19"/>
      <c r="AZ21" s="19"/>
    </row>
    <row r="22" spans="1:52" ht="21.75" customHeight="1" x14ac:dyDescent="0.35">
      <c r="A22" s="20">
        <f t="shared" si="0"/>
        <v>18</v>
      </c>
      <c r="B22" s="21"/>
      <c r="C22" s="31"/>
      <c r="D22" s="23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32"/>
      <c r="S22" s="32"/>
      <c r="T22" s="33" t="str">
        <f t="shared" si="1"/>
        <v/>
      </c>
      <c r="U22" s="21"/>
      <c r="V22" s="21"/>
      <c r="W22" s="21"/>
      <c r="X22" s="21"/>
      <c r="Y22" s="20" t="s">
        <v>408</v>
      </c>
      <c r="Z22" s="34"/>
      <c r="AA22" s="34" t="str">
        <f t="shared" si="2"/>
        <v/>
      </c>
      <c r="AB22" s="34" t="str">
        <f t="shared" si="3"/>
        <v/>
      </c>
      <c r="AC22" s="34"/>
      <c r="AD22" s="32"/>
      <c r="AE22" s="32"/>
      <c r="AF22" s="32"/>
      <c r="AG22" s="32"/>
      <c r="AH22" s="32"/>
      <c r="AI22" s="32"/>
      <c r="AJ22" s="32"/>
      <c r="AK22" s="34"/>
      <c r="AL22" s="32"/>
      <c r="AM22" s="21"/>
      <c r="AN22" s="34"/>
      <c r="AO22" s="34"/>
      <c r="AP22" s="34"/>
      <c r="AQ22" s="34"/>
      <c r="AR22" s="34"/>
      <c r="AS22" s="34" t="str">
        <f>IF(AB22&lt;&gt;"",AB22+IF(#REF!&lt;&gt;"",#REF!,0)+IF(AQ22&lt;&gt;"",AQ22,0)+IF(AR22&lt;&gt;"",AR22,0),"")</f>
        <v/>
      </c>
      <c r="AT22" s="34"/>
      <c r="AU22" s="34" t="str">
        <f t="shared" si="4"/>
        <v/>
      </c>
      <c r="AV22" s="21"/>
      <c r="AW22" s="21"/>
      <c r="AX22" s="21"/>
      <c r="AY22" s="21"/>
      <c r="AZ22" s="21"/>
    </row>
    <row r="23" spans="1:52" ht="21.75" customHeight="1" x14ac:dyDescent="0.35">
      <c r="A23" s="18">
        <f t="shared" si="0"/>
        <v>19</v>
      </c>
      <c r="B23" s="19"/>
      <c r="C23" s="27"/>
      <c r="D23" s="24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28"/>
      <c r="S23" s="28"/>
      <c r="T23" s="29" t="str">
        <f t="shared" si="1"/>
        <v/>
      </c>
      <c r="U23" s="19"/>
      <c r="V23" s="19"/>
      <c r="W23" s="19"/>
      <c r="X23" s="19"/>
      <c r="Y23" s="18" t="s">
        <v>408</v>
      </c>
      <c r="Z23" s="30"/>
      <c r="AA23" s="30" t="str">
        <f t="shared" si="2"/>
        <v/>
      </c>
      <c r="AB23" s="30" t="str">
        <f t="shared" si="3"/>
        <v/>
      </c>
      <c r="AC23" s="30"/>
      <c r="AD23" s="28"/>
      <c r="AE23" s="28"/>
      <c r="AF23" s="28"/>
      <c r="AG23" s="28"/>
      <c r="AH23" s="28"/>
      <c r="AI23" s="28"/>
      <c r="AJ23" s="28"/>
      <c r="AK23" s="30"/>
      <c r="AL23" s="28"/>
      <c r="AM23" s="19"/>
      <c r="AN23" s="30"/>
      <c r="AO23" s="30"/>
      <c r="AP23" s="30"/>
      <c r="AQ23" s="30"/>
      <c r="AR23" s="30"/>
      <c r="AS23" s="30" t="str">
        <f>IF(AB23&lt;&gt;"",AB23+IF(#REF!&lt;&gt;"",#REF!,0)+IF(AQ23&lt;&gt;"",AQ23,0)+IF(AR23&lt;&gt;"",AR23,0),"")</f>
        <v/>
      </c>
      <c r="AT23" s="30"/>
      <c r="AU23" s="30" t="str">
        <f t="shared" si="4"/>
        <v/>
      </c>
      <c r="AV23" s="19"/>
      <c r="AW23" s="19"/>
      <c r="AX23" s="19"/>
      <c r="AY23" s="19"/>
      <c r="AZ23" s="19"/>
    </row>
    <row r="24" spans="1:52" ht="21.75" customHeight="1" x14ac:dyDescent="0.35">
      <c r="A24" s="20">
        <f t="shared" si="0"/>
        <v>20</v>
      </c>
      <c r="B24" s="21"/>
      <c r="C24" s="31"/>
      <c r="D24" s="23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32"/>
      <c r="S24" s="32"/>
      <c r="T24" s="33" t="str">
        <f t="shared" si="1"/>
        <v/>
      </c>
      <c r="U24" s="21"/>
      <c r="V24" s="21"/>
      <c r="W24" s="21"/>
      <c r="X24" s="21"/>
      <c r="Y24" s="20" t="s">
        <v>408</v>
      </c>
      <c r="Z24" s="34"/>
      <c r="AA24" s="34" t="str">
        <f t="shared" si="2"/>
        <v/>
      </c>
      <c r="AB24" s="34" t="str">
        <f t="shared" si="3"/>
        <v/>
      </c>
      <c r="AC24" s="34"/>
      <c r="AD24" s="32"/>
      <c r="AE24" s="32"/>
      <c r="AF24" s="32"/>
      <c r="AG24" s="32"/>
      <c r="AH24" s="32"/>
      <c r="AI24" s="32"/>
      <c r="AJ24" s="32"/>
      <c r="AK24" s="34"/>
      <c r="AL24" s="32"/>
      <c r="AM24" s="21"/>
      <c r="AN24" s="34"/>
      <c r="AO24" s="34"/>
      <c r="AP24" s="34"/>
      <c r="AQ24" s="34"/>
      <c r="AR24" s="34"/>
      <c r="AS24" s="34" t="str">
        <f>IF(AB24&lt;&gt;"",AB24+IF(#REF!&lt;&gt;"",#REF!,0)+IF(AQ24&lt;&gt;"",AQ24,0)+IF(AR24&lt;&gt;"",AR24,0),"")</f>
        <v/>
      </c>
      <c r="AT24" s="34"/>
      <c r="AU24" s="34" t="str">
        <f t="shared" si="4"/>
        <v/>
      </c>
      <c r="AV24" s="21"/>
      <c r="AW24" s="21"/>
      <c r="AX24" s="21"/>
      <c r="AY24" s="21"/>
      <c r="AZ24" s="21"/>
    </row>
    <row r="25" spans="1:52" ht="21.75" customHeight="1" x14ac:dyDescent="0.35">
      <c r="A25" s="18">
        <f t="shared" si="0"/>
        <v>21</v>
      </c>
      <c r="B25" s="19"/>
      <c r="C25" s="27"/>
      <c r="D25" s="24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8"/>
      <c r="S25" s="28"/>
      <c r="T25" s="29" t="str">
        <f t="shared" si="1"/>
        <v/>
      </c>
      <c r="U25" s="19"/>
      <c r="V25" s="19"/>
      <c r="W25" s="19"/>
      <c r="X25" s="19"/>
      <c r="Y25" s="18" t="s">
        <v>408</v>
      </c>
      <c r="Z25" s="30"/>
      <c r="AA25" s="30" t="str">
        <f t="shared" si="2"/>
        <v/>
      </c>
      <c r="AB25" s="30" t="str">
        <f t="shared" si="3"/>
        <v/>
      </c>
      <c r="AC25" s="30"/>
      <c r="AD25" s="28"/>
      <c r="AE25" s="28"/>
      <c r="AF25" s="28"/>
      <c r="AG25" s="28"/>
      <c r="AH25" s="28"/>
      <c r="AI25" s="28"/>
      <c r="AJ25" s="28"/>
      <c r="AK25" s="30"/>
      <c r="AL25" s="28"/>
      <c r="AM25" s="19"/>
      <c r="AN25" s="30"/>
      <c r="AO25" s="30"/>
      <c r="AP25" s="30"/>
      <c r="AQ25" s="30"/>
      <c r="AR25" s="30"/>
      <c r="AS25" s="30" t="str">
        <f>IF(AB25&lt;&gt;"",AB25+IF(#REF!&lt;&gt;"",#REF!,0)+IF(AQ25&lt;&gt;"",AQ25,0)+IF(AR25&lt;&gt;"",AR25,0),"")</f>
        <v/>
      </c>
      <c r="AT25" s="30"/>
      <c r="AU25" s="30" t="str">
        <f t="shared" si="4"/>
        <v/>
      </c>
      <c r="AV25" s="19"/>
      <c r="AW25" s="19"/>
      <c r="AX25" s="19"/>
      <c r="AY25" s="19"/>
      <c r="AZ25" s="19"/>
    </row>
    <row r="26" spans="1:52" ht="21.75" customHeight="1" x14ac:dyDescent="0.35">
      <c r="A26" s="20">
        <f t="shared" si="0"/>
        <v>22</v>
      </c>
      <c r="B26" s="21"/>
      <c r="C26" s="31"/>
      <c r="D26" s="23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32"/>
      <c r="S26" s="32"/>
      <c r="T26" s="33" t="str">
        <f t="shared" si="1"/>
        <v/>
      </c>
      <c r="U26" s="21"/>
      <c r="V26" s="21"/>
      <c r="W26" s="21"/>
      <c r="X26" s="21"/>
      <c r="Y26" s="20" t="s">
        <v>408</v>
      </c>
      <c r="Z26" s="34"/>
      <c r="AA26" s="34" t="str">
        <f t="shared" si="2"/>
        <v/>
      </c>
      <c r="AB26" s="34" t="str">
        <f t="shared" si="3"/>
        <v/>
      </c>
      <c r="AC26" s="34"/>
      <c r="AD26" s="32"/>
      <c r="AE26" s="32"/>
      <c r="AF26" s="32"/>
      <c r="AG26" s="32"/>
      <c r="AH26" s="32"/>
      <c r="AI26" s="32"/>
      <c r="AJ26" s="32"/>
      <c r="AK26" s="34"/>
      <c r="AL26" s="32"/>
      <c r="AM26" s="21"/>
      <c r="AN26" s="34"/>
      <c r="AO26" s="34"/>
      <c r="AP26" s="34"/>
      <c r="AQ26" s="34"/>
      <c r="AR26" s="34"/>
      <c r="AS26" s="34" t="str">
        <f>IF(AB26&lt;&gt;"",AB26+IF(#REF!&lt;&gt;"",#REF!,0)+IF(AQ26&lt;&gt;"",AQ26,0)+IF(AR26&lt;&gt;"",AR26,0),"")</f>
        <v/>
      </c>
      <c r="AT26" s="34"/>
      <c r="AU26" s="34" t="str">
        <f t="shared" si="4"/>
        <v/>
      </c>
      <c r="AV26" s="21"/>
      <c r="AW26" s="21"/>
      <c r="AX26" s="21"/>
      <c r="AY26" s="21"/>
      <c r="AZ26" s="21"/>
    </row>
    <row r="27" spans="1:52" ht="21.75" customHeight="1" x14ac:dyDescent="0.35">
      <c r="A27" s="18">
        <f t="shared" si="0"/>
        <v>23</v>
      </c>
      <c r="B27" s="19"/>
      <c r="C27" s="27"/>
      <c r="D27" s="24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8"/>
      <c r="S27" s="28"/>
      <c r="T27" s="29" t="str">
        <f t="shared" si="1"/>
        <v/>
      </c>
      <c r="U27" s="19"/>
      <c r="V27" s="19"/>
      <c r="W27" s="19"/>
      <c r="X27" s="19"/>
      <c r="Y27" s="18" t="s">
        <v>408</v>
      </c>
      <c r="Z27" s="30"/>
      <c r="AA27" s="30" t="str">
        <f t="shared" si="2"/>
        <v/>
      </c>
      <c r="AB27" s="30" t="str">
        <f t="shared" si="3"/>
        <v/>
      </c>
      <c r="AC27" s="30"/>
      <c r="AD27" s="28"/>
      <c r="AE27" s="28"/>
      <c r="AF27" s="28"/>
      <c r="AG27" s="28"/>
      <c r="AH27" s="28"/>
      <c r="AI27" s="28"/>
      <c r="AJ27" s="28"/>
      <c r="AK27" s="30"/>
      <c r="AL27" s="28"/>
      <c r="AM27" s="19"/>
      <c r="AN27" s="30"/>
      <c r="AO27" s="30"/>
      <c r="AP27" s="30"/>
      <c r="AQ27" s="30"/>
      <c r="AR27" s="30"/>
      <c r="AS27" s="30" t="str">
        <f>IF(AB27&lt;&gt;"",AB27+IF(#REF!&lt;&gt;"",#REF!,0)+IF(AQ27&lt;&gt;"",AQ27,0)+IF(AR27&lt;&gt;"",AR27,0),"")</f>
        <v/>
      </c>
      <c r="AT27" s="30"/>
      <c r="AU27" s="30" t="str">
        <f t="shared" si="4"/>
        <v/>
      </c>
      <c r="AV27" s="19"/>
      <c r="AW27" s="19"/>
      <c r="AX27" s="19"/>
      <c r="AY27" s="19"/>
      <c r="AZ27" s="19"/>
    </row>
    <row r="28" spans="1:52" ht="21.75" customHeight="1" x14ac:dyDescent="0.35">
      <c r="A28" s="20">
        <f t="shared" si="0"/>
        <v>24</v>
      </c>
      <c r="B28" s="21"/>
      <c r="C28" s="31"/>
      <c r="D28" s="23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32"/>
      <c r="S28" s="32"/>
      <c r="T28" s="33" t="str">
        <f t="shared" si="1"/>
        <v/>
      </c>
      <c r="U28" s="21"/>
      <c r="V28" s="21"/>
      <c r="W28" s="21"/>
      <c r="X28" s="21"/>
      <c r="Y28" s="20" t="s">
        <v>408</v>
      </c>
      <c r="Z28" s="34"/>
      <c r="AA28" s="34" t="str">
        <f t="shared" si="2"/>
        <v/>
      </c>
      <c r="AB28" s="34" t="str">
        <f t="shared" si="3"/>
        <v/>
      </c>
      <c r="AC28" s="34"/>
      <c r="AD28" s="32"/>
      <c r="AE28" s="32"/>
      <c r="AF28" s="32"/>
      <c r="AG28" s="32"/>
      <c r="AH28" s="32"/>
      <c r="AI28" s="32"/>
      <c r="AJ28" s="32"/>
      <c r="AK28" s="34"/>
      <c r="AL28" s="32"/>
      <c r="AM28" s="21"/>
      <c r="AN28" s="34"/>
      <c r="AO28" s="34"/>
      <c r="AP28" s="34"/>
      <c r="AQ28" s="34"/>
      <c r="AR28" s="34"/>
      <c r="AS28" s="34" t="str">
        <f>IF(AB28&lt;&gt;"",AB28+IF(#REF!&lt;&gt;"",#REF!,0)+IF(AQ28&lt;&gt;"",AQ28,0)+IF(AR28&lt;&gt;"",AR28,0),"")</f>
        <v/>
      </c>
      <c r="AT28" s="34"/>
      <c r="AU28" s="34" t="str">
        <f t="shared" si="4"/>
        <v/>
      </c>
      <c r="AV28" s="21"/>
      <c r="AW28" s="21"/>
      <c r="AX28" s="21"/>
      <c r="AY28" s="21"/>
      <c r="AZ28" s="21"/>
    </row>
    <row r="29" spans="1:52" ht="21.75" customHeight="1" x14ac:dyDescent="0.35">
      <c r="A29" s="18">
        <f t="shared" si="0"/>
        <v>25</v>
      </c>
      <c r="B29" s="19"/>
      <c r="C29" s="27"/>
      <c r="D29" s="24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28"/>
      <c r="S29" s="28"/>
      <c r="T29" s="29" t="str">
        <f t="shared" si="1"/>
        <v/>
      </c>
      <c r="U29" s="19"/>
      <c r="V29" s="19"/>
      <c r="W29" s="19"/>
      <c r="X29" s="19"/>
      <c r="Y29" s="18" t="s">
        <v>408</v>
      </c>
      <c r="Z29" s="30"/>
      <c r="AA29" s="30" t="str">
        <f t="shared" si="2"/>
        <v/>
      </c>
      <c r="AB29" s="30" t="str">
        <f t="shared" si="3"/>
        <v/>
      </c>
      <c r="AC29" s="30"/>
      <c r="AD29" s="28"/>
      <c r="AE29" s="28"/>
      <c r="AF29" s="28"/>
      <c r="AG29" s="28"/>
      <c r="AH29" s="28"/>
      <c r="AI29" s="28"/>
      <c r="AJ29" s="28"/>
      <c r="AK29" s="30"/>
      <c r="AL29" s="28"/>
      <c r="AM29" s="19"/>
      <c r="AN29" s="30"/>
      <c r="AO29" s="30"/>
      <c r="AP29" s="30"/>
      <c r="AQ29" s="30"/>
      <c r="AR29" s="30"/>
      <c r="AS29" s="30" t="str">
        <f>IF(AB29&lt;&gt;"",AB29+IF(#REF!&lt;&gt;"",#REF!,0)+IF(AQ29&lt;&gt;"",AQ29,0)+IF(AR29&lt;&gt;"",AR29,0),"")</f>
        <v/>
      </c>
      <c r="AT29" s="30"/>
      <c r="AU29" s="30" t="str">
        <f t="shared" si="4"/>
        <v/>
      </c>
      <c r="AV29" s="19"/>
      <c r="AW29" s="19"/>
      <c r="AX29" s="19"/>
      <c r="AY29" s="19"/>
      <c r="AZ29" s="19"/>
    </row>
    <row r="30" spans="1:52" ht="21.75" customHeight="1" x14ac:dyDescent="0.35">
      <c r="A30" s="20">
        <f t="shared" si="0"/>
        <v>26</v>
      </c>
      <c r="B30" s="21"/>
      <c r="C30" s="31"/>
      <c r="D30" s="23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32"/>
      <c r="S30" s="32"/>
      <c r="T30" s="33" t="str">
        <f t="shared" si="1"/>
        <v/>
      </c>
      <c r="U30" s="21"/>
      <c r="V30" s="21"/>
      <c r="W30" s="21"/>
      <c r="X30" s="21"/>
      <c r="Y30" s="20" t="s">
        <v>408</v>
      </c>
      <c r="Z30" s="34"/>
      <c r="AA30" s="34" t="str">
        <f t="shared" si="2"/>
        <v/>
      </c>
      <c r="AB30" s="34" t="str">
        <f t="shared" si="3"/>
        <v/>
      </c>
      <c r="AC30" s="34"/>
      <c r="AD30" s="32"/>
      <c r="AE30" s="32"/>
      <c r="AF30" s="32"/>
      <c r="AG30" s="32"/>
      <c r="AH30" s="32"/>
      <c r="AI30" s="32"/>
      <c r="AJ30" s="32"/>
      <c r="AK30" s="34"/>
      <c r="AL30" s="32"/>
      <c r="AM30" s="21"/>
      <c r="AN30" s="34"/>
      <c r="AO30" s="34"/>
      <c r="AP30" s="34"/>
      <c r="AQ30" s="34"/>
      <c r="AR30" s="34"/>
      <c r="AS30" s="34" t="str">
        <f>IF(AB30&lt;&gt;"",AB30+IF(#REF!&lt;&gt;"",#REF!,0)+IF(AQ30&lt;&gt;"",AQ30,0)+IF(AR30&lt;&gt;"",AR30,0),"")</f>
        <v/>
      </c>
      <c r="AT30" s="34"/>
      <c r="AU30" s="34" t="str">
        <f t="shared" si="4"/>
        <v/>
      </c>
      <c r="AV30" s="21"/>
      <c r="AW30" s="21"/>
      <c r="AX30" s="21"/>
      <c r="AY30" s="21"/>
      <c r="AZ30" s="21"/>
    </row>
    <row r="31" spans="1:52" ht="21.75" customHeight="1" x14ac:dyDescent="0.35">
      <c r="A31" s="18">
        <f t="shared" si="0"/>
        <v>27</v>
      </c>
      <c r="B31" s="19"/>
      <c r="C31" s="27"/>
      <c r="D31" s="24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8"/>
      <c r="S31" s="28"/>
      <c r="T31" s="29" t="str">
        <f t="shared" si="1"/>
        <v/>
      </c>
      <c r="U31" s="19"/>
      <c r="V31" s="19"/>
      <c r="W31" s="19"/>
      <c r="X31" s="19"/>
      <c r="Y31" s="18" t="s">
        <v>408</v>
      </c>
      <c r="Z31" s="30"/>
      <c r="AA31" s="30" t="str">
        <f t="shared" si="2"/>
        <v/>
      </c>
      <c r="AB31" s="30" t="str">
        <f t="shared" si="3"/>
        <v/>
      </c>
      <c r="AC31" s="30"/>
      <c r="AD31" s="28"/>
      <c r="AE31" s="28"/>
      <c r="AF31" s="28"/>
      <c r="AG31" s="28"/>
      <c r="AH31" s="28"/>
      <c r="AI31" s="28"/>
      <c r="AJ31" s="28"/>
      <c r="AK31" s="30"/>
      <c r="AL31" s="28"/>
      <c r="AM31" s="19"/>
      <c r="AN31" s="30"/>
      <c r="AO31" s="30"/>
      <c r="AP31" s="30"/>
      <c r="AQ31" s="30"/>
      <c r="AR31" s="30"/>
      <c r="AS31" s="30" t="str">
        <f>IF(AB31&lt;&gt;"",AB31+IF(#REF!&lt;&gt;"",#REF!,0)+IF(AQ31&lt;&gt;"",AQ31,0)+IF(AR31&lt;&gt;"",AR31,0),"")</f>
        <v/>
      </c>
      <c r="AT31" s="30"/>
      <c r="AU31" s="30" t="str">
        <f t="shared" si="4"/>
        <v/>
      </c>
      <c r="AV31" s="19"/>
      <c r="AW31" s="19"/>
      <c r="AX31" s="19"/>
      <c r="AY31" s="19"/>
      <c r="AZ31" s="19"/>
    </row>
    <row r="32" spans="1:52" ht="21.75" customHeight="1" x14ac:dyDescent="0.35">
      <c r="A32" s="20">
        <f t="shared" si="0"/>
        <v>28</v>
      </c>
      <c r="B32" s="21"/>
      <c r="C32" s="31"/>
      <c r="D32" s="23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32"/>
      <c r="S32" s="32"/>
      <c r="T32" s="33" t="str">
        <f t="shared" si="1"/>
        <v/>
      </c>
      <c r="U32" s="21"/>
      <c r="V32" s="21"/>
      <c r="W32" s="21"/>
      <c r="X32" s="21"/>
      <c r="Y32" s="20" t="s">
        <v>408</v>
      </c>
      <c r="Z32" s="34"/>
      <c r="AA32" s="34" t="str">
        <f t="shared" si="2"/>
        <v/>
      </c>
      <c r="AB32" s="34" t="str">
        <f t="shared" si="3"/>
        <v/>
      </c>
      <c r="AC32" s="34"/>
      <c r="AD32" s="32"/>
      <c r="AE32" s="32"/>
      <c r="AF32" s="32"/>
      <c r="AG32" s="32"/>
      <c r="AH32" s="32"/>
      <c r="AI32" s="32"/>
      <c r="AJ32" s="32"/>
      <c r="AK32" s="34"/>
      <c r="AL32" s="32"/>
      <c r="AM32" s="21"/>
      <c r="AN32" s="34"/>
      <c r="AO32" s="34"/>
      <c r="AP32" s="34"/>
      <c r="AQ32" s="34"/>
      <c r="AR32" s="34"/>
      <c r="AS32" s="34" t="str">
        <f>IF(AB32&lt;&gt;"",AB32+IF(#REF!&lt;&gt;"",#REF!,0)+IF(AQ32&lt;&gt;"",AQ32,0)+IF(AR32&lt;&gt;"",AR32,0),"")</f>
        <v/>
      </c>
      <c r="AT32" s="34"/>
      <c r="AU32" s="34" t="str">
        <f t="shared" si="4"/>
        <v/>
      </c>
      <c r="AV32" s="21"/>
      <c r="AW32" s="21"/>
      <c r="AX32" s="21"/>
      <c r="AY32" s="21"/>
      <c r="AZ32" s="21"/>
    </row>
    <row r="33" spans="1:52" ht="21.75" customHeight="1" x14ac:dyDescent="0.35">
      <c r="A33" s="18">
        <f t="shared" si="0"/>
        <v>29</v>
      </c>
      <c r="B33" s="19"/>
      <c r="C33" s="27"/>
      <c r="D33" s="24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8"/>
      <c r="S33" s="28"/>
      <c r="T33" s="29" t="str">
        <f t="shared" si="1"/>
        <v/>
      </c>
      <c r="U33" s="19"/>
      <c r="V33" s="19"/>
      <c r="W33" s="19"/>
      <c r="X33" s="19"/>
      <c r="Y33" s="18" t="s">
        <v>408</v>
      </c>
      <c r="Z33" s="30"/>
      <c r="AA33" s="30" t="str">
        <f t="shared" si="2"/>
        <v/>
      </c>
      <c r="AB33" s="30" t="str">
        <f t="shared" si="3"/>
        <v/>
      </c>
      <c r="AC33" s="30"/>
      <c r="AD33" s="28"/>
      <c r="AE33" s="28"/>
      <c r="AF33" s="28"/>
      <c r="AG33" s="28"/>
      <c r="AH33" s="28"/>
      <c r="AI33" s="28"/>
      <c r="AJ33" s="28"/>
      <c r="AK33" s="30"/>
      <c r="AL33" s="28"/>
      <c r="AM33" s="19"/>
      <c r="AN33" s="30"/>
      <c r="AO33" s="30"/>
      <c r="AP33" s="30"/>
      <c r="AQ33" s="30"/>
      <c r="AR33" s="30"/>
      <c r="AS33" s="30" t="str">
        <f>IF(AB33&lt;&gt;"",AB33+IF(#REF!&lt;&gt;"",#REF!,0)+IF(AQ33&lt;&gt;"",AQ33,0)+IF(AR33&lt;&gt;"",AR33,0),"")</f>
        <v/>
      </c>
      <c r="AT33" s="30"/>
      <c r="AU33" s="30" t="str">
        <f t="shared" si="4"/>
        <v/>
      </c>
      <c r="AV33" s="19"/>
      <c r="AW33" s="19"/>
      <c r="AX33" s="19"/>
      <c r="AY33" s="19"/>
      <c r="AZ33" s="19"/>
    </row>
    <row r="34" spans="1:52" ht="21.75" customHeight="1" x14ac:dyDescent="0.35">
      <c r="A34" s="20">
        <f t="shared" si="0"/>
        <v>30</v>
      </c>
      <c r="B34" s="21"/>
      <c r="C34" s="31"/>
      <c r="D34" s="23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32"/>
      <c r="S34" s="32"/>
      <c r="T34" s="33" t="str">
        <f t="shared" si="1"/>
        <v/>
      </c>
      <c r="U34" s="21"/>
      <c r="V34" s="21"/>
      <c r="W34" s="21"/>
      <c r="X34" s="21"/>
      <c r="Y34" s="20" t="s">
        <v>408</v>
      </c>
      <c r="Z34" s="34"/>
      <c r="AA34" s="34" t="str">
        <f t="shared" si="2"/>
        <v/>
      </c>
      <c r="AB34" s="34" t="str">
        <f t="shared" si="3"/>
        <v/>
      </c>
      <c r="AC34" s="34"/>
      <c r="AD34" s="32"/>
      <c r="AE34" s="32"/>
      <c r="AF34" s="32"/>
      <c r="AG34" s="32"/>
      <c r="AH34" s="32"/>
      <c r="AI34" s="32"/>
      <c r="AJ34" s="32"/>
      <c r="AK34" s="34"/>
      <c r="AL34" s="32"/>
      <c r="AM34" s="21"/>
      <c r="AN34" s="34"/>
      <c r="AO34" s="34"/>
      <c r="AP34" s="34"/>
      <c r="AQ34" s="34"/>
      <c r="AR34" s="34"/>
      <c r="AS34" s="34" t="str">
        <f>IF(AB34&lt;&gt;"",AB34+IF(#REF!&lt;&gt;"",#REF!,0)+IF(AQ34&lt;&gt;"",AQ34,0)+IF(AR34&lt;&gt;"",AR34,0),"")</f>
        <v/>
      </c>
      <c r="AT34" s="34"/>
      <c r="AU34" s="34" t="str">
        <f t="shared" si="4"/>
        <v/>
      </c>
      <c r="AV34" s="21"/>
      <c r="AW34" s="21"/>
      <c r="AX34" s="21"/>
      <c r="AY34" s="21"/>
      <c r="AZ34" s="21"/>
    </row>
    <row r="35" spans="1:52" ht="21.75" customHeight="1" x14ac:dyDescent="0.35">
      <c r="A35" s="18">
        <f t="shared" si="0"/>
        <v>31</v>
      </c>
      <c r="B35" s="19"/>
      <c r="C35" s="27"/>
      <c r="D35" s="24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8"/>
      <c r="S35" s="28"/>
      <c r="T35" s="29" t="str">
        <f t="shared" si="1"/>
        <v/>
      </c>
      <c r="U35" s="19"/>
      <c r="V35" s="19"/>
      <c r="W35" s="19"/>
      <c r="X35" s="19"/>
      <c r="Y35" s="18" t="s">
        <v>408</v>
      </c>
      <c r="Z35" s="30"/>
      <c r="AA35" s="30" t="str">
        <f t="shared" si="2"/>
        <v/>
      </c>
      <c r="AB35" s="30" t="str">
        <f t="shared" si="3"/>
        <v/>
      </c>
      <c r="AC35" s="30"/>
      <c r="AD35" s="28"/>
      <c r="AE35" s="28"/>
      <c r="AF35" s="28"/>
      <c r="AG35" s="28"/>
      <c r="AH35" s="28"/>
      <c r="AI35" s="28"/>
      <c r="AJ35" s="28"/>
      <c r="AK35" s="30"/>
      <c r="AL35" s="28"/>
      <c r="AM35" s="19"/>
      <c r="AN35" s="30"/>
      <c r="AO35" s="30"/>
      <c r="AP35" s="30"/>
      <c r="AQ35" s="30"/>
      <c r="AR35" s="30"/>
      <c r="AS35" s="30" t="str">
        <f>IF(AB35&lt;&gt;"",AB35+IF(#REF!&lt;&gt;"",#REF!,0)+IF(AQ35&lt;&gt;"",AQ35,0)+IF(AR35&lt;&gt;"",AR35,0),"")</f>
        <v/>
      </c>
      <c r="AT35" s="30"/>
      <c r="AU35" s="30" t="str">
        <f t="shared" si="4"/>
        <v/>
      </c>
      <c r="AV35" s="19"/>
      <c r="AW35" s="19"/>
      <c r="AX35" s="19"/>
      <c r="AY35" s="19"/>
      <c r="AZ35" s="19"/>
    </row>
    <row r="36" spans="1:52" ht="21.75" customHeight="1" x14ac:dyDescent="0.35">
      <c r="A36" s="20">
        <f t="shared" si="0"/>
        <v>32</v>
      </c>
      <c r="B36" s="21"/>
      <c r="C36" s="31"/>
      <c r="D36" s="23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32"/>
      <c r="S36" s="32"/>
      <c r="T36" s="33" t="str">
        <f t="shared" si="1"/>
        <v/>
      </c>
      <c r="U36" s="21"/>
      <c r="V36" s="21"/>
      <c r="W36" s="21"/>
      <c r="X36" s="21"/>
      <c r="Y36" s="20" t="s">
        <v>408</v>
      </c>
      <c r="Z36" s="34"/>
      <c r="AA36" s="34" t="str">
        <f t="shared" si="2"/>
        <v/>
      </c>
      <c r="AB36" s="34" t="str">
        <f t="shared" si="3"/>
        <v/>
      </c>
      <c r="AC36" s="34"/>
      <c r="AD36" s="32"/>
      <c r="AE36" s="32"/>
      <c r="AF36" s="32"/>
      <c r="AG36" s="32"/>
      <c r="AH36" s="32"/>
      <c r="AI36" s="32"/>
      <c r="AJ36" s="32"/>
      <c r="AK36" s="34"/>
      <c r="AL36" s="32"/>
      <c r="AM36" s="21"/>
      <c r="AN36" s="34"/>
      <c r="AO36" s="34"/>
      <c r="AP36" s="34"/>
      <c r="AQ36" s="34"/>
      <c r="AR36" s="34"/>
      <c r="AS36" s="34" t="str">
        <f>IF(AB36&lt;&gt;"",AB36+IF(#REF!&lt;&gt;"",#REF!,0)+IF(AQ36&lt;&gt;"",AQ36,0)+IF(AR36&lt;&gt;"",AR36,0),"")</f>
        <v/>
      </c>
      <c r="AT36" s="34"/>
      <c r="AU36" s="34" t="str">
        <f t="shared" si="4"/>
        <v/>
      </c>
      <c r="AV36" s="21"/>
      <c r="AW36" s="21"/>
      <c r="AX36" s="21"/>
      <c r="AY36" s="21"/>
      <c r="AZ36" s="21"/>
    </row>
    <row r="37" spans="1:52" ht="21.75" customHeight="1" x14ac:dyDescent="0.35">
      <c r="A37" s="18">
        <f t="shared" ref="A37:A68" si="5">ROW()-4</f>
        <v>33</v>
      </c>
      <c r="B37" s="19"/>
      <c r="C37" s="27"/>
      <c r="D37" s="24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28"/>
      <c r="S37" s="28"/>
      <c r="T37" s="29" t="str">
        <f t="shared" ref="T37:T68" si="6">IF(AND(R37&lt;&gt;"",S37&lt;&gt;""),S37-R37,"")</f>
        <v/>
      </c>
      <c r="U37" s="19"/>
      <c r="V37" s="19"/>
      <c r="W37" s="19"/>
      <c r="X37" s="19"/>
      <c r="Y37" s="18" t="s">
        <v>408</v>
      </c>
      <c r="Z37" s="30"/>
      <c r="AA37" s="30" t="str">
        <f t="shared" ref="AA37:AA68" si="7">IF(Z37&lt;&gt;"",ROUND(Z37/30,2),"")</f>
        <v/>
      </c>
      <c r="AB37" s="30" t="str">
        <f t="shared" ref="AB37:AB68" si="8">IF(AND(Z37&lt;&gt;"",T37&lt;&gt;""),ROUND(Z37/30*T37,2),"")</f>
        <v/>
      </c>
      <c r="AC37" s="30"/>
      <c r="AD37" s="28"/>
      <c r="AE37" s="28"/>
      <c r="AF37" s="28"/>
      <c r="AG37" s="28"/>
      <c r="AH37" s="28"/>
      <c r="AI37" s="28"/>
      <c r="AJ37" s="28"/>
      <c r="AK37" s="30"/>
      <c r="AL37" s="28"/>
      <c r="AM37" s="19"/>
      <c r="AN37" s="30"/>
      <c r="AO37" s="30"/>
      <c r="AP37" s="30"/>
      <c r="AQ37" s="30"/>
      <c r="AR37" s="30"/>
      <c r="AS37" s="30" t="str">
        <f>IF(AB37&lt;&gt;"",AB37+IF(#REF!&lt;&gt;"",#REF!,0)+IF(AQ37&lt;&gt;"",AQ37,0)+IF(AR37&lt;&gt;"",AR37,0),"")</f>
        <v/>
      </c>
      <c r="AT37" s="30"/>
      <c r="AU37" s="30" t="str">
        <f t="shared" ref="AU37:AU68" si="9">IF(AS37&lt;&gt;"",AS37-IF(AT37&lt;&gt;"",AT37,0),"")</f>
        <v/>
      </c>
      <c r="AV37" s="19"/>
      <c r="AW37" s="19"/>
      <c r="AX37" s="19"/>
      <c r="AY37" s="19"/>
      <c r="AZ37" s="19"/>
    </row>
    <row r="38" spans="1:52" ht="21.75" customHeight="1" x14ac:dyDescent="0.35">
      <c r="A38" s="20">
        <f t="shared" si="5"/>
        <v>34</v>
      </c>
      <c r="B38" s="21"/>
      <c r="C38" s="31"/>
      <c r="D38" s="23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32"/>
      <c r="S38" s="32"/>
      <c r="T38" s="33" t="str">
        <f t="shared" si="6"/>
        <v/>
      </c>
      <c r="U38" s="21"/>
      <c r="V38" s="21"/>
      <c r="W38" s="21"/>
      <c r="X38" s="21"/>
      <c r="Y38" s="20" t="s">
        <v>408</v>
      </c>
      <c r="Z38" s="34"/>
      <c r="AA38" s="34" t="str">
        <f t="shared" si="7"/>
        <v/>
      </c>
      <c r="AB38" s="34" t="str">
        <f t="shared" si="8"/>
        <v/>
      </c>
      <c r="AC38" s="34"/>
      <c r="AD38" s="32"/>
      <c r="AE38" s="32"/>
      <c r="AF38" s="32"/>
      <c r="AG38" s="32"/>
      <c r="AH38" s="32"/>
      <c r="AI38" s="32"/>
      <c r="AJ38" s="32"/>
      <c r="AK38" s="34"/>
      <c r="AL38" s="32"/>
      <c r="AM38" s="21"/>
      <c r="AN38" s="34"/>
      <c r="AO38" s="34"/>
      <c r="AP38" s="34"/>
      <c r="AQ38" s="34"/>
      <c r="AR38" s="34"/>
      <c r="AS38" s="34" t="str">
        <f>IF(AB38&lt;&gt;"",AB38+IF(#REF!&lt;&gt;"",#REF!,0)+IF(AQ38&lt;&gt;"",AQ38,0)+IF(AR38&lt;&gt;"",AR38,0),"")</f>
        <v/>
      </c>
      <c r="AT38" s="34"/>
      <c r="AU38" s="34" t="str">
        <f t="shared" si="9"/>
        <v/>
      </c>
      <c r="AV38" s="21"/>
      <c r="AW38" s="21"/>
      <c r="AX38" s="21"/>
      <c r="AY38" s="21"/>
      <c r="AZ38" s="21"/>
    </row>
    <row r="39" spans="1:52" ht="21.75" customHeight="1" x14ac:dyDescent="0.35">
      <c r="A39" s="18">
        <f t="shared" si="5"/>
        <v>35</v>
      </c>
      <c r="B39" s="19"/>
      <c r="C39" s="27"/>
      <c r="D39" s="24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28"/>
      <c r="S39" s="28"/>
      <c r="T39" s="29" t="str">
        <f t="shared" si="6"/>
        <v/>
      </c>
      <c r="U39" s="19"/>
      <c r="V39" s="19"/>
      <c r="W39" s="19"/>
      <c r="X39" s="19"/>
      <c r="Y39" s="18" t="s">
        <v>408</v>
      </c>
      <c r="Z39" s="30"/>
      <c r="AA39" s="30" t="str">
        <f t="shared" si="7"/>
        <v/>
      </c>
      <c r="AB39" s="30" t="str">
        <f t="shared" si="8"/>
        <v/>
      </c>
      <c r="AC39" s="30"/>
      <c r="AD39" s="28"/>
      <c r="AE39" s="28"/>
      <c r="AF39" s="28"/>
      <c r="AG39" s="28"/>
      <c r="AH39" s="28"/>
      <c r="AI39" s="28"/>
      <c r="AJ39" s="28"/>
      <c r="AK39" s="30"/>
      <c r="AL39" s="28"/>
      <c r="AM39" s="19"/>
      <c r="AN39" s="30"/>
      <c r="AO39" s="30"/>
      <c r="AP39" s="30"/>
      <c r="AQ39" s="30"/>
      <c r="AR39" s="30"/>
      <c r="AS39" s="30" t="str">
        <f>IF(AB39&lt;&gt;"",AB39+IF(#REF!&lt;&gt;"",#REF!,0)+IF(AQ39&lt;&gt;"",AQ39,0)+IF(AR39&lt;&gt;"",AR39,0),"")</f>
        <v/>
      </c>
      <c r="AT39" s="30"/>
      <c r="AU39" s="30" t="str">
        <f t="shared" si="9"/>
        <v/>
      </c>
      <c r="AV39" s="19"/>
      <c r="AW39" s="19"/>
      <c r="AX39" s="19"/>
      <c r="AY39" s="19"/>
      <c r="AZ39" s="19"/>
    </row>
    <row r="40" spans="1:52" ht="21.75" customHeight="1" x14ac:dyDescent="0.35">
      <c r="A40" s="20">
        <f t="shared" si="5"/>
        <v>36</v>
      </c>
      <c r="B40" s="21"/>
      <c r="C40" s="31"/>
      <c r="D40" s="23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32"/>
      <c r="S40" s="32"/>
      <c r="T40" s="33" t="str">
        <f t="shared" si="6"/>
        <v/>
      </c>
      <c r="U40" s="21"/>
      <c r="V40" s="21"/>
      <c r="W40" s="21"/>
      <c r="X40" s="21"/>
      <c r="Y40" s="20" t="s">
        <v>408</v>
      </c>
      <c r="Z40" s="34"/>
      <c r="AA40" s="34" t="str">
        <f t="shared" si="7"/>
        <v/>
      </c>
      <c r="AB40" s="34" t="str">
        <f t="shared" si="8"/>
        <v/>
      </c>
      <c r="AC40" s="34"/>
      <c r="AD40" s="32"/>
      <c r="AE40" s="32"/>
      <c r="AF40" s="32"/>
      <c r="AG40" s="32"/>
      <c r="AH40" s="32"/>
      <c r="AI40" s="32"/>
      <c r="AJ40" s="32"/>
      <c r="AK40" s="34"/>
      <c r="AL40" s="32"/>
      <c r="AM40" s="21"/>
      <c r="AN40" s="34"/>
      <c r="AO40" s="34"/>
      <c r="AP40" s="34"/>
      <c r="AQ40" s="34"/>
      <c r="AR40" s="34"/>
      <c r="AS40" s="34" t="str">
        <f>IF(AB40&lt;&gt;"",AB40+IF(#REF!&lt;&gt;"",#REF!,0)+IF(AQ40&lt;&gt;"",AQ40,0)+IF(AR40&lt;&gt;"",AR40,0),"")</f>
        <v/>
      </c>
      <c r="AT40" s="34"/>
      <c r="AU40" s="34" t="str">
        <f t="shared" si="9"/>
        <v/>
      </c>
      <c r="AV40" s="21"/>
      <c r="AW40" s="21"/>
      <c r="AX40" s="21"/>
      <c r="AY40" s="21"/>
      <c r="AZ40" s="21"/>
    </row>
    <row r="41" spans="1:52" ht="21.75" customHeight="1" x14ac:dyDescent="0.35">
      <c r="A41" s="18">
        <f t="shared" si="5"/>
        <v>37</v>
      </c>
      <c r="B41" s="19"/>
      <c r="C41" s="27"/>
      <c r="D41" s="24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28"/>
      <c r="S41" s="28"/>
      <c r="T41" s="29" t="str">
        <f t="shared" si="6"/>
        <v/>
      </c>
      <c r="U41" s="19"/>
      <c r="V41" s="19"/>
      <c r="W41" s="19"/>
      <c r="X41" s="19"/>
      <c r="Y41" s="18" t="s">
        <v>408</v>
      </c>
      <c r="Z41" s="30"/>
      <c r="AA41" s="30" t="str">
        <f t="shared" si="7"/>
        <v/>
      </c>
      <c r="AB41" s="30" t="str">
        <f t="shared" si="8"/>
        <v/>
      </c>
      <c r="AC41" s="30"/>
      <c r="AD41" s="28"/>
      <c r="AE41" s="28"/>
      <c r="AF41" s="28"/>
      <c r="AG41" s="28"/>
      <c r="AH41" s="28"/>
      <c r="AI41" s="28"/>
      <c r="AJ41" s="28"/>
      <c r="AK41" s="30"/>
      <c r="AL41" s="28"/>
      <c r="AM41" s="19"/>
      <c r="AN41" s="30"/>
      <c r="AO41" s="30"/>
      <c r="AP41" s="30"/>
      <c r="AQ41" s="30"/>
      <c r="AR41" s="30"/>
      <c r="AS41" s="30" t="str">
        <f>IF(AB41&lt;&gt;"",AB41+IF(#REF!&lt;&gt;"",#REF!,0)+IF(AQ41&lt;&gt;"",AQ41,0)+IF(AR41&lt;&gt;"",AR41,0),"")</f>
        <v/>
      </c>
      <c r="AT41" s="30"/>
      <c r="AU41" s="30" t="str">
        <f t="shared" si="9"/>
        <v/>
      </c>
      <c r="AV41" s="19"/>
      <c r="AW41" s="19"/>
      <c r="AX41" s="19"/>
      <c r="AY41" s="19"/>
      <c r="AZ41" s="19"/>
    </row>
    <row r="42" spans="1:52" ht="21.75" customHeight="1" x14ac:dyDescent="0.35">
      <c r="A42" s="20">
        <f t="shared" si="5"/>
        <v>38</v>
      </c>
      <c r="B42" s="21"/>
      <c r="C42" s="31"/>
      <c r="D42" s="23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32"/>
      <c r="S42" s="32"/>
      <c r="T42" s="33" t="str">
        <f t="shared" si="6"/>
        <v/>
      </c>
      <c r="U42" s="21"/>
      <c r="V42" s="21"/>
      <c r="W42" s="21"/>
      <c r="X42" s="21"/>
      <c r="Y42" s="20" t="s">
        <v>408</v>
      </c>
      <c r="Z42" s="34"/>
      <c r="AA42" s="34" t="str">
        <f t="shared" si="7"/>
        <v/>
      </c>
      <c r="AB42" s="34" t="str">
        <f t="shared" si="8"/>
        <v/>
      </c>
      <c r="AC42" s="34"/>
      <c r="AD42" s="32"/>
      <c r="AE42" s="32"/>
      <c r="AF42" s="32"/>
      <c r="AG42" s="32"/>
      <c r="AH42" s="32"/>
      <c r="AI42" s="32"/>
      <c r="AJ42" s="32"/>
      <c r="AK42" s="34"/>
      <c r="AL42" s="32"/>
      <c r="AM42" s="21"/>
      <c r="AN42" s="34"/>
      <c r="AO42" s="34"/>
      <c r="AP42" s="34"/>
      <c r="AQ42" s="34"/>
      <c r="AR42" s="34"/>
      <c r="AS42" s="34" t="str">
        <f>IF(AB42&lt;&gt;"",AB42+IF(#REF!&lt;&gt;"",#REF!,0)+IF(AQ42&lt;&gt;"",AQ42,0)+IF(AR42&lt;&gt;"",AR42,0),"")</f>
        <v/>
      </c>
      <c r="AT42" s="34"/>
      <c r="AU42" s="34" t="str">
        <f t="shared" si="9"/>
        <v/>
      </c>
      <c r="AV42" s="21"/>
      <c r="AW42" s="21"/>
      <c r="AX42" s="21"/>
      <c r="AY42" s="21"/>
      <c r="AZ42" s="21"/>
    </row>
    <row r="43" spans="1:52" ht="21.75" customHeight="1" x14ac:dyDescent="0.35">
      <c r="A43" s="18">
        <f t="shared" si="5"/>
        <v>39</v>
      </c>
      <c r="B43" s="19"/>
      <c r="C43" s="27"/>
      <c r="D43" s="24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28"/>
      <c r="S43" s="28"/>
      <c r="T43" s="29" t="str">
        <f t="shared" si="6"/>
        <v/>
      </c>
      <c r="U43" s="19"/>
      <c r="V43" s="19"/>
      <c r="W43" s="19"/>
      <c r="X43" s="19"/>
      <c r="Y43" s="18" t="s">
        <v>408</v>
      </c>
      <c r="Z43" s="30"/>
      <c r="AA43" s="30" t="str">
        <f t="shared" si="7"/>
        <v/>
      </c>
      <c r="AB43" s="30" t="str">
        <f t="shared" si="8"/>
        <v/>
      </c>
      <c r="AC43" s="30"/>
      <c r="AD43" s="28"/>
      <c r="AE43" s="28"/>
      <c r="AF43" s="28"/>
      <c r="AG43" s="28"/>
      <c r="AH43" s="28"/>
      <c r="AI43" s="28"/>
      <c r="AJ43" s="28"/>
      <c r="AK43" s="30"/>
      <c r="AL43" s="28"/>
      <c r="AM43" s="19"/>
      <c r="AN43" s="30"/>
      <c r="AO43" s="30"/>
      <c r="AP43" s="30"/>
      <c r="AQ43" s="30"/>
      <c r="AR43" s="30"/>
      <c r="AS43" s="30" t="str">
        <f>IF(AB43&lt;&gt;"",AB43+IF(#REF!&lt;&gt;"",#REF!,0)+IF(AQ43&lt;&gt;"",AQ43,0)+IF(AR43&lt;&gt;"",AR43,0),"")</f>
        <v/>
      </c>
      <c r="AT43" s="30"/>
      <c r="AU43" s="30" t="str">
        <f t="shared" si="9"/>
        <v/>
      </c>
      <c r="AV43" s="19"/>
      <c r="AW43" s="19"/>
      <c r="AX43" s="19"/>
      <c r="AY43" s="19"/>
      <c r="AZ43" s="19"/>
    </row>
    <row r="44" spans="1:52" ht="21.75" customHeight="1" x14ac:dyDescent="0.35">
      <c r="A44" s="20">
        <f t="shared" si="5"/>
        <v>40</v>
      </c>
      <c r="B44" s="21"/>
      <c r="C44" s="31"/>
      <c r="D44" s="23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32"/>
      <c r="S44" s="32"/>
      <c r="T44" s="33" t="str">
        <f t="shared" si="6"/>
        <v/>
      </c>
      <c r="U44" s="21"/>
      <c r="V44" s="21"/>
      <c r="W44" s="21"/>
      <c r="X44" s="21"/>
      <c r="Y44" s="20" t="s">
        <v>408</v>
      </c>
      <c r="Z44" s="34"/>
      <c r="AA44" s="34" t="str">
        <f t="shared" si="7"/>
        <v/>
      </c>
      <c r="AB44" s="34" t="str">
        <f t="shared" si="8"/>
        <v/>
      </c>
      <c r="AC44" s="34"/>
      <c r="AD44" s="32"/>
      <c r="AE44" s="32"/>
      <c r="AF44" s="32"/>
      <c r="AG44" s="32"/>
      <c r="AH44" s="32"/>
      <c r="AI44" s="32"/>
      <c r="AJ44" s="32"/>
      <c r="AK44" s="34"/>
      <c r="AL44" s="32"/>
      <c r="AM44" s="21"/>
      <c r="AN44" s="34"/>
      <c r="AO44" s="34"/>
      <c r="AP44" s="34"/>
      <c r="AQ44" s="34"/>
      <c r="AR44" s="34"/>
      <c r="AS44" s="34" t="str">
        <f>IF(AB44&lt;&gt;"",AB44+IF(#REF!&lt;&gt;"",#REF!,0)+IF(AQ44&lt;&gt;"",AQ44,0)+IF(AR44&lt;&gt;"",AR44,0),"")</f>
        <v/>
      </c>
      <c r="AT44" s="34"/>
      <c r="AU44" s="34" t="str">
        <f t="shared" si="9"/>
        <v/>
      </c>
      <c r="AV44" s="21"/>
      <c r="AW44" s="21"/>
      <c r="AX44" s="21"/>
      <c r="AY44" s="21"/>
      <c r="AZ44" s="21"/>
    </row>
    <row r="45" spans="1:52" ht="21.75" customHeight="1" x14ac:dyDescent="0.35">
      <c r="A45" s="18">
        <f t="shared" si="5"/>
        <v>41</v>
      </c>
      <c r="B45" s="19"/>
      <c r="C45" s="27"/>
      <c r="D45" s="24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8"/>
      <c r="S45" s="28"/>
      <c r="T45" s="29" t="str">
        <f t="shared" si="6"/>
        <v/>
      </c>
      <c r="U45" s="19"/>
      <c r="V45" s="19"/>
      <c r="W45" s="19"/>
      <c r="X45" s="19"/>
      <c r="Y45" s="18" t="s">
        <v>408</v>
      </c>
      <c r="Z45" s="30"/>
      <c r="AA45" s="30" t="str">
        <f t="shared" si="7"/>
        <v/>
      </c>
      <c r="AB45" s="30" t="str">
        <f t="shared" si="8"/>
        <v/>
      </c>
      <c r="AC45" s="30"/>
      <c r="AD45" s="28"/>
      <c r="AE45" s="28"/>
      <c r="AF45" s="28"/>
      <c r="AG45" s="28"/>
      <c r="AH45" s="28"/>
      <c r="AI45" s="28"/>
      <c r="AJ45" s="28"/>
      <c r="AK45" s="30"/>
      <c r="AL45" s="28"/>
      <c r="AM45" s="19"/>
      <c r="AN45" s="30"/>
      <c r="AO45" s="30"/>
      <c r="AP45" s="30"/>
      <c r="AQ45" s="30"/>
      <c r="AR45" s="30"/>
      <c r="AS45" s="30" t="str">
        <f>IF(AB45&lt;&gt;"",AB45+IF(#REF!&lt;&gt;"",#REF!,0)+IF(AQ45&lt;&gt;"",AQ45,0)+IF(AR45&lt;&gt;"",AR45,0),"")</f>
        <v/>
      </c>
      <c r="AT45" s="30"/>
      <c r="AU45" s="30" t="str">
        <f t="shared" si="9"/>
        <v/>
      </c>
      <c r="AV45" s="19"/>
      <c r="AW45" s="19"/>
      <c r="AX45" s="19"/>
      <c r="AY45" s="19"/>
      <c r="AZ45" s="19"/>
    </row>
    <row r="46" spans="1:52" ht="21.75" customHeight="1" x14ac:dyDescent="0.35">
      <c r="A46" s="20">
        <f t="shared" si="5"/>
        <v>42</v>
      </c>
      <c r="B46" s="21"/>
      <c r="C46" s="31"/>
      <c r="D46" s="23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32"/>
      <c r="S46" s="32"/>
      <c r="T46" s="33" t="str">
        <f t="shared" si="6"/>
        <v/>
      </c>
      <c r="U46" s="21"/>
      <c r="V46" s="21"/>
      <c r="W46" s="21"/>
      <c r="X46" s="21"/>
      <c r="Y46" s="20" t="s">
        <v>408</v>
      </c>
      <c r="Z46" s="34"/>
      <c r="AA46" s="34" t="str">
        <f t="shared" si="7"/>
        <v/>
      </c>
      <c r="AB46" s="34" t="str">
        <f t="shared" si="8"/>
        <v/>
      </c>
      <c r="AC46" s="34"/>
      <c r="AD46" s="32"/>
      <c r="AE46" s="32"/>
      <c r="AF46" s="32"/>
      <c r="AG46" s="32"/>
      <c r="AH46" s="32"/>
      <c r="AI46" s="32"/>
      <c r="AJ46" s="32"/>
      <c r="AK46" s="34"/>
      <c r="AL46" s="32"/>
      <c r="AM46" s="21"/>
      <c r="AN46" s="34"/>
      <c r="AO46" s="34"/>
      <c r="AP46" s="34"/>
      <c r="AQ46" s="34"/>
      <c r="AR46" s="34"/>
      <c r="AS46" s="34" t="str">
        <f>IF(AB46&lt;&gt;"",AB46+IF(#REF!&lt;&gt;"",#REF!,0)+IF(AQ46&lt;&gt;"",AQ46,0)+IF(AR46&lt;&gt;"",AR46,0),"")</f>
        <v/>
      </c>
      <c r="AT46" s="34"/>
      <c r="AU46" s="34" t="str">
        <f t="shared" si="9"/>
        <v/>
      </c>
      <c r="AV46" s="21"/>
      <c r="AW46" s="21"/>
      <c r="AX46" s="21"/>
      <c r="AY46" s="21"/>
      <c r="AZ46" s="21"/>
    </row>
    <row r="47" spans="1:52" ht="21.75" customHeight="1" x14ac:dyDescent="0.35">
      <c r="A47" s="18">
        <f t="shared" si="5"/>
        <v>43</v>
      </c>
      <c r="B47" s="19"/>
      <c r="C47" s="27"/>
      <c r="D47" s="24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8"/>
      <c r="S47" s="28"/>
      <c r="T47" s="29" t="str">
        <f t="shared" si="6"/>
        <v/>
      </c>
      <c r="U47" s="19"/>
      <c r="V47" s="19"/>
      <c r="W47" s="19"/>
      <c r="X47" s="19"/>
      <c r="Y47" s="18" t="s">
        <v>408</v>
      </c>
      <c r="Z47" s="30"/>
      <c r="AA47" s="30" t="str">
        <f t="shared" si="7"/>
        <v/>
      </c>
      <c r="AB47" s="30" t="str">
        <f t="shared" si="8"/>
        <v/>
      </c>
      <c r="AC47" s="30"/>
      <c r="AD47" s="28"/>
      <c r="AE47" s="28"/>
      <c r="AF47" s="28"/>
      <c r="AG47" s="28"/>
      <c r="AH47" s="28"/>
      <c r="AI47" s="28"/>
      <c r="AJ47" s="28"/>
      <c r="AK47" s="30"/>
      <c r="AL47" s="28"/>
      <c r="AM47" s="19"/>
      <c r="AN47" s="30"/>
      <c r="AO47" s="30"/>
      <c r="AP47" s="30"/>
      <c r="AQ47" s="30"/>
      <c r="AR47" s="30"/>
      <c r="AS47" s="30" t="str">
        <f>IF(AB47&lt;&gt;"",AB47+IF(#REF!&lt;&gt;"",#REF!,0)+IF(AQ47&lt;&gt;"",AQ47,0)+IF(AR47&lt;&gt;"",AR47,0),"")</f>
        <v/>
      </c>
      <c r="AT47" s="30"/>
      <c r="AU47" s="30" t="str">
        <f t="shared" si="9"/>
        <v/>
      </c>
      <c r="AV47" s="19"/>
      <c r="AW47" s="19"/>
      <c r="AX47" s="19"/>
      <c r="AY47" s="19"/>
      <c r="AZ47" s="19"/>
    </row>
    <row r="48" spans="1:52" ht="21.75" customHeight="1" x14ac:dyDescent="0.35">
      <c r="A48" s="20">
        <f t="shared" si="5"/>
        <v>44</v>
      </c>
      <c r="B48" s="21"/>
      <c r="C48" s="31"/>
      <c r="D48" s="23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32"/>
      <c r="S48" s="32"/>
      <c r="T48" s="33" t="str">
        <f t="shared" si="6"/>
        <v/>
      </c>
      <c r="U48" s="21"/>
      <c r="V48" s="21"/>
      <c r="W48" s="21"/>
      <c r="X48" s="21"/>
      <c r="Y48" s="20" t="s">
        <v>408</v>
      </c>
      <c r="Z48" s="34"/>
      <c r="AA48" s="34" t="str">
        <f t="shared" si="7"/>
        <v/>
      </c>
      <c r="AB48" s="34" t="str">
        <f t="shared" si="8"/>
        <v/>
      </c>
      <c r="AC48" s="34"/>
      <c r="AD48" s="32"/>
      <c r="AE48" s="32"/>
      <c r="AF48" s="32"/>
      <c r="AG48" s="32"/>
      <c r="AH48" s="32"/>
      <c r="AI48" s="32"/>
      <c r="AJ48" s="32"/>
      <c r="AK48" s="34"/>
      <c r="AL48" s="32"/>
      <c r="AM48" s="21"/>
      <c r="AN48" s="34"/>
      <c r="AO48" s="34"/>
      <c r="AP48" s="34"/>
      <c r="AQ48" s="34"/>
      <c r="AR48" s="34"/>
      <c r="AS48" s="34" t="str">
        <f>IF(AB48&lt;&gt;"",AB48+IF(#REF!&lt;&gt;"",#REF!,0)+IF(AQ48&lt;&gt;"",AQ48,0)+IF(AR48&lt;&gt;"",AR48,0),"")</f>
        <v/>
      </c>
      <c r="AT48" s="34"/>
      <c r="AU48" s="34" t="str">
        <f t="shared" si="9"/>
        <v/>
      </c>
      <c r="AV48" s="21"/>
      <c r="AW48" s="21"/>
      <c r="AX48" s="21"/>
      <c r="AY48" s="21"/>
      <c r="AZ48" s="21"/>
    </row>
    <row r="49" spans="1:52" ht="21.75" customHeight="1" x14ac:dyDescent="0.35">
      <c r="A49" s="18">
        <f t="shared" si="5"/>
        <v>45</v>
      </c>
      <c r="B49" s="19"/>
      <c r="C49" s="27"/>
      <c r="D49" s="24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8"/>
      <c r="S49" s="28"/>
      <c r="T49" s="29" t="str">
        <f t="shared" si="6"/>
        <v/>
      </c>
      <c r="U49" s="19"/>
      <c r="V49" s="19"/>
      <c r="W49" s="19"/>
      <c r="X49" s="19"/>
      <c r="Y49" s="18" t="s">
        <v>408</v>
      </c>
      <c r="Z49" s="30"/>
      <c r="AA49" s="30" t="str">
        <f t="shared" si="7"/>
        <v/>
      </c>
      <c r="AB49" s="30" t="str">
        <f t="shared" si="8"/>
        <v/>
      </c>
      <c r="AC49" s="30"/>
      <c r="AD49" s="28"/>
      <c r="AE49" s="28"/>
      <c r="AF49" s="28"/>
      <c r="AG49" s="28"/>
      <c r="AH49" s="28"/>
      <c r="AI49" s="28"/>
      <c r="AJ49" s="28"/>
      <c r="AK49" s="30"/>
      <c r="AL49" s="28"/>
      <c r="AM49" s="19"/>
      <c r="AN49" s="30"/>
      <c r="AO49" s="30"/>
      <c r="AP49" s="30"/>
      <c r="AQ49" s="30"/>
      <c r="AR49" s="30"/>
      <c r="AS49" s="30" t="str">
        <f>IF(AB49&lt;&gt;"",AB49+IF(#REF!&lt;&gt;"",#REF!,0)+IF(AQ49&lt;&gt;"",AQ49,0)+IF(AR49&lt;&gt;"",AR49,0),"")</f>
        <v/>
      </c>
      <c r="AT49" s="30"/>
      <c r="AU49" s="30" t="str">
        <f t="shared" si="9"/>
        <v/>
      </c>
      <c r="AV49" s="19"/>
      <c r="AW49" s="19"/>
      <c r="AX49" s="19"/>
      <c r="AY49" s="19"/>
      <c r="AZ49" s="19"/>
    </row>
    <row r="50" spans="1:52" ht="21.75" customHeight="1" x14ac:dyDescent="0.35">
      <c r="A50" s="20">
        <f t="shared" si="5"/>
        <v>46</v>
      </c>
      <c r="B50" s="21"/>
      <c r="C50" s="31"/>
      <c r="D50" s="23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32"/>
      <c r="S50" s="32"/>
      <c r="T50" s="33" t="str">
        <f t="shared" si="6"/>
        <v/>
      </c>
      <c r="U50" s="21"/>
      <c r="V50" s="21"/>
      <c r="W50" s="21"/>
      <c r="X50" s="21"/>
      <c r="Y50" s="20" t="s">
        <v>408</v>
      </c>
      <c r="Z50" s="34"/>
      <c r="AA50" s="34" t="str">
        <f t="shared" si="7"/>
        <v/>
      </c>
      <c r="AB50" s="34" t="str">
        <f t="shared" si="8"/>
        <v/>
      </c>
      <c r="AC50" s="34"/>
      <c r="AD50" s="32"/>
      <c r="AE50" s="32"/>
      <c r="AF50" s="32"/>
      <c r="AG50" s="32"/>
      <c r="AH50" s="32"/>
      <c r="AI50" s="32"/>
      <c r="AJ50" s="32"/>
      <c r="AK50" s="34"/>
      <c r="AL50" s="32"/>
      <c r="AM50" s="21"/>
      <c r="AN50" s="34"/>
      <c r="AO50" s="34"/>
      <c r="AP50" s="34"/>
      <c r="AQ50" s="34"/>
      <c r="AR50" s="34"/>
      <c r="AS50" s="34" t="str">
        <f>IF(AB50&lt;&gt;"",AB50+IF(#REF!&lt;&gt;"",#REF!,0)+IF(AQ50&lt;&gt;"",AQ50,0)+IF(AR50&lt;&gt;"",AR50,0),"")</f>
        <v/>
      </c>
      <c r="AT50" s="34"/>
      <c r="AU50" s="34" t="str">
        <f t="shared" si="9"/>
        <v/>
      </c>
      <c r="AV50" s="21"/>
      <c r="AW50" s="21"/>
      <c r="AX50" s="21"/>
      <c r="AY50" s="21"/>
      <c r="AZ50" s="21"/>
    </row>
    <row r="51" spans="1:52" ht="21.75" customHeight="1" x14ac:dyDescent="0.35">
      <c r="A51" s="18">
        <f t="shared" si="5"/>
        <v>47</v>
      </c>
      <c r="B51" s="19"/>
      <c r="C51" s="27"/>
      <c r="D51" s="24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8"/>
      <c r="S51" s="28"/>
      <c r="T51" s="29" t="str">
        <f t="shared" si="6"/>
        <v/>
      </c>
      <c r="U51" s="19"/>
      <c r="V51" s="19"/>
      <c r="W51" s="19"/>
      <c r="X51" s="19"/>
      <c r="Y51" s="18" t="s">
        <v>408</v>
      </c>
      <c r="Z51" s="30"/>
      <c r="AA51" s="30" t="str">
        <f t="shared" si="7"/>
        <v/>
      </c>
      <c r="AB51" s="30" t="str">
        <f t="shared" si="8"/>
        <v/>
      </c>
      <c r="AC51" s="30"/>
      <c r="AD51" s="28"/>
      <c r="AE51" s="28"/>
      <c r="AF51" s="28"/>
      <c r="AG51" s="28"/>
      <c r="AH51" s="28"/>
      <c r="AI51" s="28"/>
      <c r="AJ51" s="28"/>
      <c r="AK51" s="30"/>
      <c r="AL51" s="28"/>
      <c r="AM51" s="19"/>
      <c r="AN51" s="30"/>
      <c r="AO51" s="30"/>
      <c r="AP51" s="30"/>
      <c r="AQ51" s="30"/>
      <c r="AR51" s="30"/>
      <c r="AS51" s="30" t="str">
        <f>IF(AB51&lt;&gt;"",AB51+IF(#REF!&lt;&gt;"",#REF!,0)+IF(AQ51&lt;&gt;"",AQ51,0)+IF(AR51&lt;&gt;"",AR51,0),"")</f>
        <v/>
      </c>
      <c r="AT51" s="30"/>
      <c r="AU51" s="30" t="str">
        <f t="shared" si="9"/>
        <v/>
      </c>
      <c r="AV51" s="19"/>
      <c r="AW51" s="19"/>
      <c r="AX51" s="19"/>
      <c r="AY51" s="19"/>
      <c r="AZ51" s="19"/>
    </row>
    <row r="52" spans="1:52" ht="21.75" customHeight="1" x14ac:dyDescent="0.35">
      <c r="A52" s="20">
        <f t="shared" si="5"/>
        <v>48</v>
      </c>
      <c r="B52" s="21"/>
      <c r="C52" s="31"/>
      <c r="D52" s="23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32"/>
      <c r="S52" s="32"/>
      <c r="T52" s="33" t="str">
        <f t="shared" si="6"/>
        <v/>
      </c>
      <c r="U52" s="21"/>
      <c r="V52" s="21"/>
      <c r="W52" s="21"/>
      <c r="X52" s="21"/>
      <c r="Y52" s="20" t="s">
        <v>408</v>
      </c>
      <c r="Z52" s="34"/>
      <c r="AA52" s="34" t="str">
        <f t="shared" si="7"/>
        <v/>
      </c>
      <c r="AB52" s="34" t="str">
        <f t="shared" si="8"/>
        <v/>
      </c>
      <c r="AC52" s="34"/>
      <c r="AD52" s="32"/>
      <c r="AE52" s="32"/>
      <c r="AF52" s="32"/>
      <c r="AG52" s="32"/>
      <c r="AH52" s="32"/>
      <c r="AI52" s="32"/>
      <c r="AJ52" s="32"/>
      <c r="AK52" s="34"/>
      <c r="AL52" s="32"/>
      <c r="AM52" s="21"/>
      <c r="AN52" s="34"/>
      <c r="AO52" s="34"/>
      <c r="AP52" s="34"/>
      <c r="AQ52" s="34"/>
      <c r="AR52" s="34"/>
      <c r="AS52" s="34" t="str">
        <f>IF(AB52&lt;&gt;"",AB52+IF(#REF!&lt;&gt;"",#REF!,0)+IF(AQ52&lt;&gt;"",AQ52,0)+IF(AR52&lt;&gt;"",AR52,0),"")</f>
        <v/>
      </c>
      <c r="AT52" s="34"/>
      <c r="AU52" s="34" t="str">
        <f t="shared" si="9"/>
        <v/>
      </c>
      <c r="AV52" s="21"/>
      <c r="AW52" s="21"/>
      <c r="AX52" s="21"/>
      <c r="AY52" s="21"/>
      <c r="AZ52" s="21"/>
    </row>
    <row r="53" spans="1:52" ht="21.75" customHeight="1" x14ac:dyDescent="0.35">
      <c r="A53" s="18">
        <f t="shared" si="5"/>
        <v>49</v>
      </c>
      <c r="B53" s="19"/>
      <c r="C53" s="27"/>
      <c r="D53" s="24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28"/>
      <c r="S53" s="28"/>
      <c r="T53" s="29" t="str">
        <f t="shared" si="6"/>
        <v/>
      </c>
      <c r="U53" s="19"/>
      <c r="V53" s="19"/>
      <c r="W53" s="19"/>
      <c r="X53" s="19"/>
      <c r="Y53" s="18" t="s">
        <v>408</v>
      </c>
      <c r="Z53" s="30"/>
      <c r="AA53" s="30" t="str">
        <f t="shared" si="7"/>
        <v/>
      </c>
      <c r="AB53" s="30" t="str">
        <f t="shared" si="8"/>
        <v/>
      </c>
      <c r="AC53" s="30"/>
      <c r="AD53" s="28"/>
      <c r="AE53" s="28"/>
      <c r="AF53" s="28"/>
      <c r="AG53" s="28"/>
      <c r="AH53" s="28"/>
      <c r="AI53" s="28"/>
      <c r="AJ53" s="28"/>
      <c r="AK53" s="30"/>
      <c r="AL53" s="28"/>
      <c r="AM53" s="19"/>
      <c r="AN53" s="30"/>
      <c r="AO53" s="30"/>
      <c r="AP53" s="30"/>
      <c r="AQ53" s="30"/>
      <c r="AR53" s="30"/>
      <c r="AS53" s="30" t="str">
        <f>IF(AB53&lt;&gt;"",AB53+IF(#REF!&lt;&gt;"",#REF!,0)+IF(AQ53&lt;&gt;"",AQ53,0)+IF(AR53&lt;&gt;"",AR53,0),"")</f>
        <v/>
      </c>
      <c r="AT53" s="30"/>
      <c r="AU53" s="30" t="str">
        <f t="shared" si="9"/>
        <v/>
      </c>
      <c r="AV53" s="19"/>
      <c r="AW53" s="19"/>
      <c r="AX53" s="19"/>
      <c r="AY53" s="19"/>
      <c r="AZ53" s="19"/>
    </row>
    <row r="54" spans="1:52" ht="21.75" customHeight="1" x14ac:dyDescent="0.35">
      <c r="A54" s="20">
        <f t="shared" si="5"/>
        <v>50</v>
      </c>
      <c r="B54" s="21"/>
      <c r="C54" s="31"/>
      <c r="D54" s="23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32"/>
      <c r="S54" s="32"/>
      <c r="T54" s="33" t="str">
        <f t="shared" si="6"/>
        <v/>
      </c>
      <c r="U54" s="21"/>
      <c r="V54" s="21"/>
      <c r="W54" s="21"/>
      <c r="X54" s="21"/>
      <c r="Y54" s="20" t="s">
        <v>408</v>
      </c>
      <c r="Z54" s="34"/>
      <c r="AA54" s="34" t="str">
        <f t="shared" si="7"/>
        <v/>
      </c>
      <c r="AB54" s="34" t="str">
        <f t="shared" si="8"/>
        <v/>
      </c>
      <c r="AC54" s="34"/>
      <c r="AD54" s="32"/>
      <c r="AE54" s="32"/>
      <c r="AF54" s="32"/>
      <c r="AG54" s="32"/>
      <c r="AH54" s="32"/>
      <c r="AI54" s="32"/>
      <c r="AJ54" s="32"/>
      <c r="AK54" s="34"/>
      <c r="AL54" s="32"/>
      <c r="AM54" s="21"/>
      <c r="AN54" s="34"/>
      <c r="AO54" s="34"/>
      <c r="AP54" s="34"/>
      <c r="AQ54" s="34"/>
      <c r="AR54" s="34"/>
      <c r="AS54" s="34" t="str">
        <f>IF(AB54&lt;&gt;"",AB54+IF(#REF!&lt;&gt;"",#REF!,0)+IF(AQ54&lt;&gt;"",AQ54,0)+IF(AR54&lt;&gt;"",AR54,0),"")</f>
        <v/>
      </c>
      <c r="AT54" s="34"/>
      <c r="AU54" s="34" t="str">
        <f t="shared" si="9"/>
        <v/>
      </c>
      <c r="AV54" s="21"/>
      <c r="AW54" s="21"/>
      <c r="AX54" s="21"/>
      <c r="AY54" s="21"/>
      <c r="AZ54" s="21"/>
    </row>
    <row r="55" spans="1:52" ht="21.75" customHeight="1" x14ac:dyDescent="0.35">
      <c r="A55" s="18">
        <f t="shared" si="5"/>
        <v>51</v>
      </c>
      <c r="B55" s="19"/>
      <c r="C55" s="27"/>
      <c r="D55" s="24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8"/>
      <c r="S55" s="28"/>
      <c r="T55" s="29" t="str">
        <f t="shared" si="6"/>
        <v/>
      </c>
      <c r="U55" s="19"/>
      <c r="V55" s="19"/>
      <c r="W55" s="19"/>
      <c r="X55" s="19"/>
      <c r="Y55" s="18" t="s">
        <v>408</v>
      </c>
      <c r="Z55" s="30"/>
      <c r="AA55" s="30" t="str">
        <f t="shared" si="7"/>
        <v/>
      </c>
      <c r="AB55" s="30" t="str">
        <f t="shared" si="8"/>
        <v/>
      </c>
      <c r="AC55" s="30"/>
      <c r="AD55" s="28"/>
      <c r="AE55" s="28"/>
      <c r="AF55" s="28"/>
      <c r="AG55" s="28"/>
      <c r="AH55" s="28"/>
      <c r="AI55" s="28"/>
      <c r="AJ55" s="28"/>
      <c r="AK55" s="30"/>
      <c r="AL55" s="28"/>
      <c r="AM55" s="19"/>
      <c r="AN55" s="30"/>
      <c r="AO55" s="30"/>
      <c r="AP55" s="30"/>
      <c r="AQ55" s="30"/>
      <c r="AR55" s="30"/>
      <c r="AS55" s="30" t="str">
        <f>IF(AB55&lt;&gt;"",AB55+IF(#REF!&lt;&gt;"",#REF!,0)+IF(AQ55&lt;&gt;"",AQ55,0)+IF(AR55&lt;&gt;"",AR55,0),"")</f>
        <v/>
      </c>
      <c r="AT55" s="30"/>
      <c r="AU55" s="30" t="str">
        <f t="shared" si="9"/>
        <v/>
      </c>
      <c r="AV55" s="19"/>
      <c r="AW55" s="19"/>
      <c r="AX55" s="19"/>
      <c r="AY55" s="19"/>
      <c r="AZ55" s="19"/>
    </row>
    <row r="56" spans="1:52" ht="21.75" customHeight="1" x14ac:dyDescent="0.35">
      <c r="A56" s="20">
        <f t="shared" si="5"/>
        <v>52</v>
      </c>
      <c r="B56" s="21"/>
      <c r="C56" s="31"/>
      <c r="D56" s="23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32"/>
      <c r="S56" s="32"/>
      <c r="T56" s="33" t="str">
        <f t="shared" si="6"/>
        <v/>
      </c>
      <c r="U56" s="21"/>
      <c r="V56" s="21"/>
      <c r="W56" s="21"/>
      <c r="X56" s="21"/>
      <c r="Y56" s="20" t="s">
        <v>408</v>
      </c>
      <c r="Z56" s="34"/>
      <c r="AA56" s="34" t="str">
        <f t="shared" si="7"/>
        <v/>
      </c>
      <c r="AB56" s="34" t="str">
        <f t="shared" si="8"/>
        <v/>
      </c>
      <c r="AC56" s="34"/>
      <c r="AD56" s="32"/>
      <c r="AE56" s="32"/>
      <c r="AF56" s="32"/>
      <c r="AG56" s="32"/>
      <c r="AH56" s="32"/>
      <c r="AI56" s="32"/>
      <c r="AJ56" s="32"/>
      <c r="AK56" s="34"/>
      <c r="AL56" s="32"/>
      <c r="AM56" s="21"/>
      <c r="AN56" s="34"/>
      <c r="AO56" s="34"/>
      <c r="AP56" s="34"/>
      <c r="AQ56" s="34"/>
      <c r="AR56" s="34"/>
      <c r="AS56" s="34" t="str">
        <f>IF(AB56&lt;&gt;"",AB56+IF(#REF!&lt;&gt;"",#REF!,0)+IF(AQ56&lt;&gt;"",AQ56,0)+IF(AR56&lt;&gt;"",AR56,0),"")</f>
        <v/>
      </c>
      <c r="AT56" s="34"/>
      <c r="AU56" s="34" t="str">
        <f t="shared" si="9"/>
        <v/>
      </c>
      <c r="AV56" s="21"/>
      <c r="AW56" s="21"/>
      <c r="AX56" s="21"/>
      <c r="AY56" s="21"/>
      <c r="AZ56" s="21"/>
    </row>
    <row r="57" spans="1:52" ht="21.75" customHeight="1" x14ac:dyDescent="0.35">
      <c r="A57" s="18">
        <f t="shared" si="5"/>
        <v>53</v>
      </c>
      <c r="B57" s="19"/>
      <c r="C57" s="27"/>
      <c r="D57" s="24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28"/>
      <c r="S57" s="28"/>
      <c r="T57" s="29" t="str">
        <f t="shared" si="6"/>
        <v/>
      </c>
      <c r="U57" s="19"/>
      <c r="V57" s="19"/>
      <c r="W57" s="19"/>
      <c r="X57" s="19"/>
      <c r="Y57" s="18" t="s">
        <v>408</v>
      </c>
      <c r="Z57" s="30"/>
      <c r="AA57" s="30" t="str">
        <f t="shared" si="7"/>
        <v/>
      </c>
      <c r="AB57" s="30" t="str">
        <f t="shared" si="8"/>
        <v/>
      </c>
      <c r="AC57" s="30"/>
      <c r="AD57" s="28"/>
      <c r="AE57" s="28"/>
      <c r="AF57" s="28"/>
      <c r="AG57" s="28"/>
      <c r="AH57" s="28"/>
      <c r="AI57" s="28"/>
      <c r="AJ57" s="28"/>
      <c r="AK57" s="30"/>
      <c r="AL57" s="28"/>
      <c r="AM57" s="19"/>
      <c r="AN57" s="30"/>
      <c r="AO57" s="30"/>
      <c r="AP57" s="30"/>
      <c r="AQ57" s="30"/>
      <c r="AR57" s="30"/>
      <c r="AS57" s="30" t="str">
        <f>IF(AB57&lt;&gt;"",AB57+IF(#REF!&lt;&gt;"",#REF!,0)+IF(AQ57&lt;&gt;"",AQ57,0)+IF(AR57&lt;&gt;"",AR57,0),"")</f>
        <v/>
      </c>
      <c r="AT57" s="30"/>
      <c r="AU57" s="30" t="str">
        <f t="shared" si="9"/>
        <v/>
      </c>
      <c r="AV57" s="19"/>
      <c r="AW57" s="19"/>
      <c r="AX57" s="19"/>
      <c r="AY57" s="19"/>
      <c r="AZ57" s="19"/>
    </row>
    <row r="58" spans="1:52" ht="21.75" customHeight="1" x14ac:dyDescent="0.35">
      <c r="A58" s="20">
        <f t="shared" si="5"/>
        <v>54</v>
      </c>
      <c r="B58" s="21"/>
      <c r="C58" s="31"/>
      <c r="D58" s="23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32"/>
      <c r="S58" s="32"/>
      <c r="T58" s="33" t="str">
        <f t="shared" si="6"/>
        <v/>
      </c>
      <c r="U58" s="21"/>
      <c r="V58" s="21"/>
      <c r="W58" s="21"/>
      <c r="X58" s="21"/>
      <c r="Y58" s="20" t="s">
        <v>408</v>
      </c>
      <c r="Z58" s="34"/>
      <c r="AA58" s="34" t="str">
        <f t="shared" si="7"/>
        <v/>
      </c>
      <c r="AB58" s="34" t="str">
        <f t="shared" si="8"/>
        <v/>
      </c>
      <c r="AC58" s="34"/>
      <c r="AD58" s="32"/>
      <c r="AE58" s="32"/>
      <c r="AF58" s="32"/>
      <c r="AG58" s="32"/>
      <c r="AH58" s="32"/>
      <c r="AI58" s="32"/>
      <c r="AJ58" s="32"/>
      <c r="AK58" s="34"/>
      <c r="AL58" s="32"/>
      <c r="AM58" s="21"/>
      <c r="AN58" s="34"/>
      <c r="AO58" s="34"/>
      <c r="AP58" s="34"/>
      <c r="AQ58" s="34"/>
      <c r="AR58" s="34"/>
      <c r="AS58" s="34" t="str">
        <f>IF(AB58&lt;&gt;"",AB58+IF(#REF!&lt;&gt;"",#REF!,0)+IF(AQ58&lt;&gt;"",AQ58,0)+IF(AR58&lt;&gt;"",AR58,0),"")</f>
        <v/>
      </c>
      <c r="AT58" s="34"/>
      <c r="AU58" s="34" t="str">
        <f t="shared" si="9"/>
        <v/>
      </c>
      <c r="AV58" s="21"/>
      <c r="AW58" s="21"/>
      <c r="AX58" s="21"/>
      <c r="AY58" s="21"/>
      <c r="AZ58" s="21"/>
    </row>
    <row r="59" spans="1:52" ht="21.75" customHeight="1" x14ac:dyDescent="0.35">
      <c r="A59" s="18">
        <f t="shared" si="5"/>
        <v>55</v>
      </c>
      <c r="B59" s="19"/>
      <c r="C59" s="27"/>
      <c r="D59" s="24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28"/>
      <c r="S59" s="28"/>
      <c r="T59" s="29" t="str">
        <f t="shared" si="6"/>
        <v/>
      </c>
      <c r="U59" s="19"/>
      <c r="V59" s="19"/>
      <c r="W59" s="19"/>
      <c r="X59" s="19"/>
      <c r="Y59" s="18" t="s">
        <v>408</v>
      </c>
      <c r="Z59" s="30"/>
      <c r="AA59" s="30" t="str">
        <f t="shared" si="7"/>
        <v/>
      </c>
      <c r="AB59" s="30" t="str">
        <f t="shared" si="8"/>
        <v/>
      </c>
      <c r="AC59" s="30"/>
      <c r="AD59" s="28"/>
      <c r="AE59" s="28"/>
      <c r="AF59" s="28"/>
      <c r="AG59" s="28"/>
      <c r="AH59" s="28"/>
      <c r="AI59" s="28"/>
      <c r="AJ59" s="28"/>
      <c r="AK59" s="30"/>
      <c r="AL59" s="28"/>
      <c r="AM59" s="19"/>
      <c r="AN59" s="30"/>
      <c r="AO59" s="30"/>
      <c r="AP59" s="30"/>
      <c r="AQ59" s="30"/>
      <c r="AR59" s="30"/>
      <c r="AS59" s="30" t="str">
        <f>IF(AB59&lt;&gt;"",AB59+IF(#REF!&lt;&gt;"",#REF!,0)+IF(AQ59&lt;&gt;"",AQ59,0)+IF(AR59&lt;&gt;"",AR59,0),"")</f>
        <v/>
      </c>
      <c r="AT59" s="30"/>
      <c r="AU59" s="30" t="str">
        <f t="shared" si="9"/>
        <v/>
      </c>
      <c r="AV59" s="19"/>
      <c r="AW59" s="19"/>
      <c r="AX59" s="19"/>
      <c r="AY59" s="19"/>
      <c r="AZ59" s="19"/>
    </row>
    <row r="60" spans="1:52" ht="21.75" customHeight="1" x14ac:dyDescent="0.35">
      <c r="A60" s="20">
        <f t="shared" si="5"/>
        <v>56</v>
      </c>
      <c r="B60" s="21"/>
      <c r="C60" s="31"/>
      <c r="D60" s="23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32"/>
      <c r="S60" s="32"/>
      <c r="T60" s="33" t="str">
        <f t="shared" si="6"/>
        <v/>
      </c>
      <c r="U60" s="21"/>
      <c r="V60" s="21"/>
      <c r="W60" s="21"/>
      <c r="X60" s="21"/>
      <c r="Y60" s="20" t="s">
        <v>408</v>
      </c>
      <c r="Z60" s="34"/>
      <c r="AA60" s="34" t="str">
        <f t="shared" si="7"/>
        <v/>
      </c>
      <c r="AB60" s="34" t="str">
        <f t="shared" si="8"/>
        <v/>
      </c>
      <c r="AC60" s="34"/>
      <c r="AD60" s="32"/>
      <c r="AE60" s="32"/>
      <c r="AF60" s="32"/>
      <c r="AG60" s="32"/>
      <c r="AH60" s="32"/>
      <c r="AI60" s="32"/>
      <c r="AJ60" s="32"/>
      <c r="AK60" s="34"/>
      <c r="AL60" s="32"/>
      <c r="AM60" s="21"/>
      <c r="AN60" s="34"/>
      <c r="AO60" s="34"/>
      <c r="AP60" s="34"/>
      <c r="AQ60" s="34"/>
      <c r="AR60" s="34"/>
      <c r="AS60" s="34" t="str">
        <f>IF(AB60&lt;&gt;"",AB60+IF(#REF!&lt;&gt;"",#REF!,0)+IF(AQ60&lt;&gt;"",AQ60,0)+IF(AR60&lt;&gt;"",AR60,0),"")</f>
        <v/>
      </c>
      <c r="AT60" s="34"/>
      <c r="AU60" s="34" t="str">
        <f t="shared" si="9"/>
        <v/>
      </c>
      <c r="AV60" s="21"/>
      <c r="AW60" s="21"/>
      <c r="AX60" s="21"/>
      <c r="AY60" s="21"/>
      <c r="AZ60" s="21"/>
    </row>
    <row r="61" spans="1:52" ht="21.75" customHeight="1" x14ac:dyDescent="0.35">
      <c r="A61" s="18">
        <f t="shared" si="5"/>
        <v>57</v>
      </c>
      <c r="B61" s="19"/>
      <c r="C61" s="27"/>
      <c r="D61" s="24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28"/>
      <c r="S61" s="28"/>
      <c r="T61" s="29" t="str">
        <f t="shared" si="6"/>
        <v/>
      </c>
      <c r="U61" s="19"/>
      <c r="V61" s="19"/>
      <c r="W61" s="19"/>
      <c r="X61" s="19"/>
      <c r="Y61" s="18" t="s">
        <v>408</v>
      </c>
      <c r="Z61" s="30"/>
      <c r="AA61" s="30" t="str">
        <f t="shared" si="7"/>
        <v/>
      </c>
      <c r="AB61" s="30" t="str">
        <f t="shared" si="8"/>
        <v/>
      </c>
      <c r="AC61" s="30"/>
      <c r="AD61" s="28"/>
      <c r="AE61" s="28"/>
      <c r="AF61" s="28"/>
      <c r="AG61" s="28"/>
      <c r="AH61" s="28"/>
      <c r="AI61" s="28"/>
      <c r="AJ61" s="28"/>
      <c r="AK61" s="30"/>
      <c r="AL61" s="28"/>
      <c r="AM61" s="19"/>
      <c r="AN61" s="30"/>
      <c r="AO61" s="30"/>
      <c r="AP61" s="30"/>
      <c r="AQ61" s="30"/>
      <c r="AR61" s="30"/>
      <c r="AS61" s="30" t="str">
        <f>IF(AB61&lt;&gt;"",AB61+IF(#REF!&lt;&gt;"",#REF!,0)+IF(AQ61&lt;&gt;"",AQ61,0)+IF(AR61&lt;&gt;"",AR61,0),"")</f>
        <v/>
      </c>
      <c r="AT61" s="30"/>
      <c r="AU61" s="30" t="str">
        <f t="shared" si="9"/>
        <v/>
      </c>
      <c r="AV61" s="19"/>
      <c r="AW61" s="19"/>
      <c r="AX61" s="19"/>
      <c r="AY61" s="19"/>
      <c r="AZ61" s="19"/>
    </row>
    <row r="62" spans="1:52" ht="21.75" customHeight="1" x14ac:dyDescent="0.35">
      <c r="A62" s="20">
        <f t="shared" si="5"/>
        <v>58</v>
      </c>
      <c r="B62" s="21"/>
      <c r="C62" s="31"/>
      <c r="D62" s="23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32"/>
      <c r="S62" s="32"/>
      <c r="T62" s="33" t="str">
        <f t="shared" si="6"/>
        <v/>
      </c>
      <c r="U62" s="21"/>
      <c r="V62" s="21"/>
      <c r="W62" s="21"/>
      <c r="X62" s="21"/>
      <c r="Y62" s="20" t="s">
        <v>408</v>
      </c>
      <c r="Z62" s="34"/>
      <c r="AA62" s="34" t="str">
        <f t="shared" si="7"/>
        <v/>
      </c>
      <c r="AB62" s="34" t="str">
        <f t="shared" si="8"/>
        <v/>
      </c>
      <c r="AC62" s="34"/>
      <c r="AD62" s="32"/>
      <c r="AE62" s="32"/>
      <c r="AF62" s="32"/>
      <c r="AG62" s="32"/>
      <c r="AH62" s="32"/>
      <c r="AI62" s="32"/>
      <c r="AJ62" s="32"/>
      <c r="AK62" s="34"/>
      <c r="AL62" s="32"/>
      <c r="AM62" s="21"/>
      <c r="AN62" s="34"/>
      <c r="AO62" s="34"/>
      <c r="AP62" s="34"/>
      <c r="AQ62" s="34"/>
      <c r="AR62" s="34"/>
      <c r="AS62" s="34" t="str">
        <f>IF(AB62&lt;&gt;"",AB62+IF(#REF!&lt;&gt;"",#REF!,0)+IF(AQ62&lt;&gt;"",AQ62,0)+IF(AR62&lt;&gt;"",AR62,0),"")</f>
        <v/>
      </c>
      <c r="AT62" s="34"/>
      <c r="AU62" s="34" t="str">
        <f t="shared" si="9"/>
        <v/>
      </c>
      <c r="AV62" s="21"/>
      <c r="AW62" s="21"/>
      <c r="AX62" s="21"/>
      <c r="AY62" s="21"/>
      <c r="AZ62" s="21"/>
    </row>
    <row r="63" spans="1:52" ht="21.75" customHeight="1" x14ac:dyDescent="0.35">
      <c r="A63" s="18">
        <f t="shared" si="5"/>
        <v>59</v>
      </c>
      <c r="B63" s="19"/>
      <c r="C63" s="27"/>
      <c r="D63" s="24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28"/>
      <c r="S63" s="28"/>
      <c r="T63" s="29" t="str">
        <f t="shared" si="6"/>
        <v/>
      </c>
      <c r="U63" s="19"/>
      <c r="V63" s="19"/>
      <c r="W63" s="19"/>
      <c r="X63" s="19"/>
      <c r="Y63" s="18" t="s">
        <v>408</v>
      </c>
      <c r="Z63" s="30"/>
      <c r="AA63" s="30" t="str">
        <f t="shared" si="7"/>
        <v/>
      </c>
      <c r="AB63" s="30" t="str">
        <f t="shared" si="8"/>
        <v/>
      </c>
      <c r="AC63" s="30"/>
      <c r="AD63" s="28"/>
      <c r="AE63" s="28"/>
      <c r="AF63" s="28"/>
      <c r="AG63" s="28"/>
      <c r="AH63" s="28"/>
      <c r="AI63" s="28"/>
      <c r="AJ63" s="28"/>
      <c r="AK63" s="30"/>
      <c r="AL63" s="28"/>
      <c r="AM63" s="19"/>
      <c r="AN63" s="30"/>
      <c r="AO63" s="30"/>
      <c r="AP63" s="30"/>
      <c r="AQ63" s="30"/>
      <c r="AR63" s="30"/>
      <c r="AS63" s="30" t="str">
        <f>IF(AB63&lt;&gt;"",AB63+IF(#REF!&lt;&gt;"",#REF!,0)+IF(AQ63&lt;&gt;"",AQ63,0)+IF(AR63&lt;&gt;"",AR63,0),"")</f>
        <v/>
      </c>
      <c r="AT63" s="30"/>
      <c r="AU63" s="30" t="str">
        <f t="shared" si="9"/>
        <v/>
      </c>
      <c r="AV63" s="19"/>
      <c r="AW63" s="19"/>
      <c r="AX63" s="19"/>
      <c r="AY63" s="19"/>
      <c r="AZ63" s="19"/>
    </row>
    <row r="64" spans="1:52" ht="21.75" customHeight="1" x14ac:dyDescent="0.35">
      <c r="A64" s="20">
        <f t="shared" si="5"/>
        <v>60</v>
      </c>
      <c r="B64" s="21"/>
      <c r="C64" s="31"/>
      <c r="D64" s="23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32"/>
      <c r="S64" s="32"/>
      <c r="T64" s="33" t="str">
        <f t="shared" si="6"/>
        <v/>
      </c>
      <c r="U64" s="21"/>
      <c r="V64" s="21"/>
      <c r="W64" s="21"/>
      <c r="X64" s="21"/>
      <c r="Y64" s="20" t="s">
        <v>408</v>
      </c>
      <c r="Z64" s="34"/>
      <c r="AA64" s="34" t="str">
        <f t="shared" si="7"/>
        <v/>
      </c>
      <c r="AB64" s="34" t="str">
        <f t="shared" si="8"/>
        <v/>
      </c>
      <c r="AC64" s="34"/>
      <c r="AD64" s="32"/>
      <c r="AE64" s="32"/>
      <c r="AF64" s="32"/>
      <c r="AG64" s="32"/>
      <c r="AH64" s="32"/>
      <c r="AI64" s="32"/>
      <c r="AJ64" s="32"/>
      <c r="AK64" s="34"/>
      <c r="AL64" s="32"/>
      <c r="AM64" s="21"/>
      <c r="AN64" s="34"/>
      <c r="AO64" s="34"/>
      <c r="AP64" s="34"/>
      <c r="AQ64" s="34"/>
      <c r="AR64" s="34"/>
      <c r="AS64" s="34" t="str">
        <f>IF(AB64&lt;&gt;"",AB64+IF(#REF!&lt;&gt;"",#REF!,0)+IF(AQ64&lt;&gt;"",AQ64,0)+IF(AR64&lt;&gt;"",AR64,0),"")</f>
        <v/>
      </c>
      <c r="AT64" s="34"/>
      <c r="AU64" s="34" t="str">
        <f t="shared" si="9"/>
        <v/>
      </c>
      <c r="AV64" s="21"/>
      <c r="AW64" s="21"/>
      <c r="AX64" s="21"/>
      <c r="AY64" s="21"/>
      <c r="AZ64" s="21"/>
    </row>
    <row r="65" spans="1:52" ht="21.75" customHeight="1" x14ac:dyDescent="0.35">
      <c r="A65" s="18">
        <f t="shared" si="5"/>
        <v>61</v>
      </c>
      <c r="B65" s="19"/>
      <c r="C65" s="27"/>
      <c r="D65" s="24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28"/>
      <c r="S65" s="28"/>
      <c r="T65" s="29" t="str">
        <f t="shared" si="6"/>
        <v/>
      </c>
      <c r="U65" s="19"/>
      <c r="V65" s="19"/>
      <c r="W65" s="19"/>
      <c r="X65" s="19"/>
      <c r="Y65" s="18" t="s">
        <v>408</v>
      </c>
      <c r="Z65" s="30"/>
      <c r="AA65" s="30" t="str">
        <f t="shared" si="7"/>
        <v/>
      </c>
      <c r="AB65" s="30" t="str">
        <f t="shared" si="8"/>
        <v/>
      </c>
      <c r="AC65" s="30"/>
      <c r="AD65" s="28"/>
      <c r="AE65" s="28"/>
      <c r="AF65" s="28"/>
      <c r="AG65" s="28"/>
      <c r="AH65" s="28"/>
      <c r="AI65" s="28"/>
      <c r="AJ65" s="28"/>
      <c r="AK65" s="30"/>
      <c r="AL65" s="28"/>
      <c r="AM65" s="19"/>
      <c r="AN65" s="30"/>
      <c r="AO65" s="30"/>
      <c r="AP65" s="30"/>
      <c r="AQ65" s="30"/>
      <c r="AR65" s="30"/>
      <c r="AS65" s="30" t="str">
        <f>IF(AB65&lt;&gt;"",AB65+IF(#REF!&lt;&gt;"",#REF!,0)+IF(AQ65&lt;&gt;"",AQ65,0)+IF(AR65&lt;&gt;"",AR65,0),"")</f>
        <v/>
      </c>
      <c r="AT65" s="30"/>
      <c r="AU65" s="30" t="str">
        <f t="shared" si="9"/>
        <v/>
      </c>
      <c r="AV65" s="19"/>
      <c r="AW65" s="19"/>
      <c r="AX65" s="19"/>
      <c r="AY65" s="19"/>
      <c r="AZ65" s="19"/>
    </row>
    <row r="66" spans="1:52" ht="21.75" customHeight="1" x14ac:dyDescent="0.35">
      <c r="A66" s="20">
        <f t="shared" si="5"/>
        <v>62</v>
      </c>
      <c r="B66" s="21"/>
      <c r="C66" s="31"/>
      <c r="D66" s="23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32"/>
      <c r="S66" s="32"/>
      <c r="T66" s="33" t="str">
        <f t="shared" si="6"/>
        <v/>
      </c>
      <c r="U66" s="21"/>
      <c r="V66" s="21"/>
      <c r="W66" s="21"/>
      <c r="X66" s="21"/>
      <c r="Y66" s="20" t="s">
        <v>408</v>
      </c>
      <c r="Z66" s="34"/>
      <c r="AA66" s="34" t="str">
        <f t="shared" si="7"/>
        <v/>
      </c>
      <c r="AB66" s="34" t="str">
        <f t="shared" si="8"/>
        <v/>
      </c>
      <c r="AC66" s="34"/>
      <c r="AD66" s="32"/>
      <c r="AE66" s="32"/>
      <c r="AF66" s="32"/>
      <c r="AG66" s="32"/>
      <c r="AH66" s="32"/>
      <c r="AI66" s="32"/>
      <c r="AJ66" s="32"/>
      <c r="AK66" s="34"/>
      <c r="AL66" s="32"/>
      <c r="AM66" s="21"/>
      <c r="AN66" s="34"/>
      <c r="AO66" s="34"/>
      <c r="AP66" s="34"/>
      <c r="AQ66" s="34"/>
      <c r="AR66" s="34"/>
      <c r="AS66" s="34" t="str">
        <f>IF(AB66&lt;&gt;"",AB66+IF(#REF!&lt;&gt;"",#REF!,0)+IF(AQ66&lt;&gt;"",AQ66,0)+IF(AR66&lt;&gt;"",AR66,0),"")</f>
        <v/>
      </c>
      <c r="AT66" s="34"/>
      <c r="AU66" s="34" t="str">
        <f t="shared" si="9"/>
        <v/>
      </c>
      <c r="AV66" s="21"/>
      <c r="AW66" s="21"/>
      <c r="AX66" s="21"/>
      <c r="AY66" s="21"/>
      <c r="AZ66" s="21"/>
    </row>
    <row r="67" spans="1:52" ht="21.75" customHeight="1" x14ac:dyDescent="0.35">
      <c r="A67" s="18">
        <f t="shared" si="5"/>
        <v>63</v>
      </c>
      <c r="B67" s="19"/>
      <c r="C67" s="27"/>
      <c r="D67" s="24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28"/>
      <c r="S67" s="28"/>
      <c r="T67" s="29" t="str">
        <f t="shared" si="6"/>
        <v/>
      </c>
      <c r="U67" s="19"/>
      <c r="V67" s="19"/>
      <c r="W67" s="19"/>
      <c r="X67" s="19"/>
      <c r="Y67" s="18" t="s">
        <v>408</v>
      </c>
      <c r="Z67" s="30"/>
      <c r="AA67" s="30" t="str">
        <f t="shared" si="7"/>
        <v/>
      </c>
      <c r="AB67" s="30" t="str">
        <f t="shared" si="8"/>
        <v/>
      </c>
      <c r="AC67" s="30"/>
      <c r="AD67" s="28"/>
      <c r="AE67" s="28"/>
      <c r="AF67" s="28"/>
      <c r="AG67" s="28"/>
      <c r="AH67" s="28"/>
      <c r="AI67" s="28"/>
      <c r="AJ67" s="28"/>
      <c r="AK67" s="30"/>
      <c r="AL67" s="28"/>
      <c r="AM67" s="19"/>
      <c r="AN67" s="30"/>
      <c r="AO67" s="30"/>
      <c r="AP67" s="30"/>
      <c r="AQ67" s="30"/>
      <c r="AR67" s="30"/>
      <c r="AS67" s="30" t="str">
        <f>IF(AB67&lt;&gt;"",AB67+IF(#REF!&lt;&gt;"",#REF!,0)+IF(AQ67&lt;&gt;"",AQ67,0)+IF(AR67&lt;&gt;"",AR67,0),"")</f>
        <v/>
      </c>
      <c r="AT67" s="30"/>
      <c r="AU67" s="30" t="str">
        <f t="shared" si="9"/>
        <v/>
      </c>
      <c r="AV67" s="19"/>
      <c r="AW67" s="19"/>
      <c r="AX67" s="19"/>
      <c r="AY67" s="19"/>
      <c r="AZ67" s="19"/>
    </row>
    <row r="68" spans="1:52" ht="21.75" customHeight="1" x14ac:dyDescent="0.35">
      <c r="A68" s="20">
        <f t="shared" si="5"/>
        <v>64</v>
      </c>
      <c r="B68" s="21"/>
      <c r="C68" s="31"/>
      <c r="D68" s="23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32"/>
      <c r="S68" s="32"/>
      <c r="T68" s="33" t="str">
        <f t="shared" si="6"/>
        <v/>
      </c>
      <c r="U68" s="21"/>
      <c r="V68" s="21"/>
      <c r="W68" s="21"/>
      <c r="X68" s="21"/>
      <c r="Y68" s="20" t="s">
        <v>408</v>
      </c>
      <c r="Z68" s="34"/>
      <c r="AA68" s="34" t="str">
        <f t="shared" si="7"/>
        <v/>
      </c>
      <c r="AB68" s="34" t="str">
        <f t="shared" si="8"/>
        <v/>
      </c>
      <c r="AC68" s="34"/>
      <c r="AD68" s="32"/>
      <c r="AE68" s="32"/>
      <c r="AF68" s="32"/>
      <c r="AG68" s="32"/>
      <c r="AH68" s="32"/>
      <c r="AI68" s="32"/>
      <c r="AJ68" s="32"/>
      <c r="AK68" s="34"/>
      <c r="AL68" s="32"/>
      <c r="AM68" s="21"/>
      <c r="AN68" s="34"/>
      <c r="AO68" s="34"/>
      <c r="AP68" s="34"/>
      <c r="AQ68" s="34"/>
      <c r="AR68" s="34"/>
      <c r="AS68" s="34" t="str">
        <f>IF(AB68&lt;&gt;"",AB68+IF(#REF!&lt;&gt;"",#REF!,0)+IF(AQ68&lt;&gt;"",AQ68,0)+IF(AR68&lt;&gt;"",AR68,0),"")</f>
        <v/>
      </c>
      <c r="AT68" s="34"/>
      <c r="AU68" s="34" t="str">
        <f t="shared" si="9"/>
        <v/>
      </c>
      <c r="AV68" s="21"/>
      <c r="AW68" s="21"/>
      <c r="AX68" s="21"/>
      <c r="AY68" s="21"/>
      <c r="AZ68" s="21"/>
    </row>
    <row r="69" spans="1:52" ht="21.75" customHeight="1" x14ac:dyDescent="0.35">
      <c r="A69" s="18">
        <f t="shared" ref="A69:A100" si="10">ROW()-4</f>
        <v>65</v>
      </c>
      <c r="B69" s="19"/>
      <c r="C69" s="27"/>
      <c r="D69" s="24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28"/>
      <c r="S69" s="28"/>
      <c r="T69" s="29" t="str">
        <f t="shared" ref="T69:T100" si="11">IF(AND(R69&lt;&gt;"",S69&lt;&gt;""),S69-R69,"")</f>
        <v/>
      </c>
      <c r="U69" s="19"/>
      <c r="V69" s="19"/>
      <c r="W69" s="19"/>
      <c r="X69" s="19"/>
      <c r="Y69" s="18" t="s">
        <v>408</v>
      </c>
      <c r="Z69" s="30"/>
      <c r="AA69" s="30" t="str">
        <f t="shared" ref="AA69:AA100" si="12">IF(Z69&lt;&gt;"",ROUND(Z69/30,2),"")</f>
        <v/>
      </c>
      <c r="AB69" s="30" t="str">
        <f t="shared" ref="AB69:AB100" si="13">IF(AND(Z69&lt;&gt;"",T69&lt;&gt;""),ROUND(Z69/30*T69,2),"")</f>
        <v/>
      </c>
      <c r="AC69" s="30"/>
      <c r="AD69" s="28"/>
      <c r="AE69" s="28"/>
      <c r="AF69" s="28"/>
      <c r="AG69" s="28"/>
      <c r="AH69" s="28"/>
      <c r="AI69" s="28"/>
      <c r="AJ69" s="28"/>
      <c r="AK69" s="30"/>
      <c r="AL69" s="28"/>
      <c r="AM69" s="19"/>
      <c r="AN69" s="30"/>
      <c r="AO69" s="30"/>
      <c r="AP69" s="30"/>
      <c r="AQ69" s="30"/>
      <c r="AR69" s="30"/>
      <c r="AS69" s="30" t="str">
        <f>IF(AB69&lt;&gt;"",AB69+IF(#REF!&lt;&gt;"",#REF!,0)+IF(AQ69&lt;&gt;"",AQ69,0)+IF(AR69&lt;&gt;"",AR69,0),"")</f>
        <v/>
      </c>
      <c r="AT69" s="30"/>
      <c r="AU69" s="30" t="str">
        <f t="shared" ref="AU69:AU100" si="14">IF(AS69&lt;&gt;"",AS69-IF(AT69&lt;&gt;"",AT69,0),"")</f>
        <v/>
      </c>
      <c r="AV69" s="19"/>
      <c r="AW69" s="19"/>
      <c r="AX69" s="19"/>
      <c r="AY69" s="19"/>
      <c r="AZ69" s="19"/>
    </row>
    <row r="70" spans="1:52" ht="21.75" customHeight="1" x14ac:dyDescent="0.35">
      <c r="A70" s="20">
        <f t="shared" si="10"/>
        <v>66</v>
      </c>
      <c r="B70" s="21"/>
      <c r="C70" s="31"/>
      <c r="D70" s="23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32"/>
      <c r="S70" s="32"/>
      <c r="T70" s="33" t="str">
        <f t="shared" si="11"/>
        <v/>
      </c>
      <c r="U70" s="21"/>
      <c r="V70" s="21"/>
      <c r="W70" s="21"/>
      <c r="X70" s="21"/>
      <c r="Y70" s="20" t="s">
        <v>408</v>
      </c>
      <c r="Z70" s="34"/>
      <c r="AA70" s="34" t="str">
        <f t="shared" si="12"/>
        <v/>
      </c>
      <c r="AB70" s="34" t="str">
        <f t="shared" si="13"/>
        <v/>
      </c>
      <c r="AC70" s="34"/>
      <c r="AD70" s="32"/>
      <c r="AE70" s="32"/>
      <c r="AF70" s="32"/>
      <c r="AG70" s="32"/>
      <c r="AH70" s="32"/>
      <c r="AI70" s="32"/>
      <c r="AJ70" s="32"/>
      <c r="AK70" s="34"/>
      <c r="AL70" s="32"/>
      <c r="AM70" s="21"/>
      <c r="AN70" s="34"/>
      <c r="AO70" s="34"/>
      <c r="AP70" s="34"/>
      <c r="AQ70" s="34"/>
      <c r="AR70" s="34"/>
      <c r="AS70" s="34" t="str">
        <f>IF(AB70&lt;&gt;"",AB70+IF(#REF!&lt;&gt;"",#REF!,0)+IF(AQ70&lt;&gt;"",AQ70,0)+IF(AR70&lt;&gt;"",AR70,0),"")</f>
        <v/>
      </c>
      <c r="AT70" s="34"/>
      <c r="AU70" s="34" t="str">
        <f t="shared" si="14"/>
        <v/>
      </c>
      <c r="AV70" s="21"/>
      <c r="AW70" s="21"/>
      <c r="AX70" s="21"/>
      <c r="AY70" s="21"/>
      <c r="AZ70" s="21"/>
    </row>
    <row r="71" spans="1:52" ht="21.75" customHeight="1" x14ac:dyDescent="0.35">
      <c r="A71" s="18">
        <f t="shared" si="10"/>
        <v>67</v>
      </c>
      <c r="B71" s="19"/>
      <c r="C71" s="27"/>
      <c r="D71" s="24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28"/>
      <c r="S71" s="28"/>
      <c r="T71" s="29" t="str">
        <f t="shared" si="11"/>
        <v/>
      </c>
      <c r="U71" s="19"/>
      <c r="V71" s="19"/>
      <c r="W71" s="19"/>
      <c r="X71" s="19"/>
      <c r="Y71" s="18" t="s">
        <v>408</v>
      </c>
      <c r="Z71" s="30"/>
      <c r="AA71" s="30" t="str">
        <f t="shared" si="12"/>
        <v/>
      </c>
      <c r="AB71" s="30" t="str">
        <f t="shared" si="13"/>
        <v/>
      </c>
      <c r="AC71" s="30"/>
      <c r="AD71" s="28"/>
      <c r="AE71" s="28"/>
      <c r="AF71" s="28"/>
      <c r="AG71" s="28"/>
      <c r="AH71" s="28"/>
      <c r="AI71" s="28"/>
      <c r="AJ71" s="28"/>
      <c r="AK71" s="30"/>
      <c r="AL71" s="28"/>
      <c r="AM71" s="19"/>
      <c r="AN71" s="30"/>
      <c r="AO71" s="30"/>
      <c r="AP71" s="30"/>
      <c r="AQ71" s="30"/>
      <c r="AR71" s="30"/>
      <c r="AS71" s="30" t="str">
        <f>IF(AB71&lt;&gt;"",AB71+IF(#REF!&lt;&gt;"",#REF!,0)+IF(AQ71&lt;&gt;"",AQ71,0)+IF(AR71&lt;&gt;"",AR71,0),"")</f>
        <v/>
      </c>
      <c r="AT71" s="30"/>
      <c r="AU71" s="30" t="str">
        <f t="shared" si="14"/>
        <v/>
      </c>
      <c r="AV71" s="19"/>
      <c r="AW71" s="19"/>
      <c r="AX71" s="19"/>
      <c r="AY71" s="19"/>
      <c r="AZ71" s="19"/>
    </row>
    <row r="72" spans="1:52" ht="21.75" customHeight="1" x14ac:dyDescent="0.35">
      <c r="A72" s="20">
        <f t="shared" si="10"/>
        <v>68</v>
      </c>
      <c r="B72" s="21"/>
      <c r="C72" s="31"/>
      <c r="D72" s="23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32"/>
      <c r="S72" s="32"/>
      <c r="T72" s="33" t="str">
        <f t="shared" si="11"/>
        <v/>
      </c>
      <c r="U72" s="21"/>
      <c r="V72" s="21"/>
      <c r="W72" s="21"/>
      <c r="X72" s="21"/>
      <c r="Y72" s="20" t="s">
        <v>408</v>
      </c>
      <c r="Z72" s="34"/>
      <c r="AA72" s="34" t="str">
        <f t="shared" si="12"/>
        <v/>
      </c>
      <c r="AB72" s="34" t="str">
        <f t="shared" si="13"/>
        <v/>
      </c>
      <c r="AC72" s="34"/>
      <c r="AD72" s="32"/>
      <c r="AE72" s="32"/>
      <c r="AF72" s="32"/>
      <c r="AG72" s="32"/>
      <c r="AH72" s="32"/>
      <c r="AI72" s="32"/>
      <c r="AJ72" s="32"/>
      <c r="AK72" s="34"/>
      <c r="AL72" s="32"/>
      <c r="AM72" s="21"/>
      <c r="AN72" s="34"/>
      <c r="AO72" s="34"/>
      <c r="AP72" s="34"/>
      <c r="AQ72" s="34"/>
      <c r="AR72" s="34"/>
      <c r="AS72" s="34" t="str">
        <f>IF(AB72&lt;&gt;"",AB72+IF(#REF!&lt;&gt;"",#REF!,0)+IF(AQ72&lt;&gt;"",AQ72,0)+IF(AR72&lt;&gt;"",AR72,0),"")</f>
        <v/>
      </c>
      <c r="AT72" s="34"/>
      <c r="AU72" s="34" t="str">
        <f t="shared" si="14"/>
        <v/>
      </c>
      <c r="AV72" s="21"/>
      <c r="AW72" s="21"/>
      <c r="AX72" s="21"/>
      <c r="AY72" s="21"/>
      <c r="AZ72" s="21"/>
    </row>
    <row r="73" spans="1:52" ht="21.75" customHeight="1" x14ac:dyDescent="0.35">
      <c r="A73" s="18">
        <f t="shared" si="10"/>
        <v>69</v>
      </c>
      <c r="B73" s="19"/>
      <c r="C73" s="27"/>
      <c r="D73" s="24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28"/>
      <c r="S73" s="28"/>
      <c r="T73" s="29" t="str">
        <f t="shared" si="11"/>
        <v/>
      </c>
      <c r="U73" s="19"/>
      <c r="V73" s="19"/>
      <c r="W73" s="19"/>
      <c r="X73" s="19"/>
      <c r="Y73" s="18" t="s">
        <v>408</v>
      </c>
      <c r="Z73" s="30"/>
      <c r="AA73" s="30" t="str">
        <f t="shared" si="12"/>
        <v/>
      </c>
      <c r="AB73" s="30" t="str">
        <f t="shared" si="13"/>
        <v/>
      </c>
      <c r="AC73" s="30"/>
      <c r="AD73" s="28"/>
      <c r="AE73" s="28"/>
      <c r="AF73" s="28"/>
      <c r="AG73" s="28"/>
      <c r="AH73" s="28"/>
      <c r="AI73" s="28"/>
      <c r="AJ73" s="28"/>
      <c r="AK73" s="30"/>
      <c r="AL73" s="28"/>
      <c r="AM73" s="19"/>
      <c r="AN73" s="30"/>
      <c r="AO73" s="30"/>
      <c r="AP73" s="30"/>
      <c r="AQ73" s="30"/>
      <c r="AR73" s="30"/>
      <c r="AS73" s="30" t="str">
        <f>IF(AB73&lt;&gt;"",AB73+IF(#REF!&lt;&gt;"",#REF!,0)+IF(AQ73&lt;&gt;"",AQ73,0)+IF(AR73&lt;&gt;"",AR73,0),"")</f>
        <v/>
      </c>
      <c r="AT73" s="30"/>
      <c r="AU73" s="30" t="str">
        <f t="shared" si="14"/>
        <v/>
      </c>
      <c r="AV73" s="19"/>
      <c r="AW73" s="19"/>
      <c r="AX73" s="19"/>
      <c r="AY73" s="19"/>
      <c r="AZ73" s="19"/>
    </row>
    <row r="74" spans="1:52" ht="21.75" customHeight="1" x14ac:dyDescent="0.35">
      <c r="A74" s="20">
        <f t="shared" si="10"/>
        <v>70</v>
      </c>
      <c r="B74" s="21"/>
      <c r="C74" s="31"/>
      <c r="D74" s="23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32"/>
      <c r="S74" s="32"/>
      <c r="T74" s="33" t="str">
        <f t="shared" si="11"/>
        <v/>
      </c>
      <c r="U74" s="21"/>
      <c r="V74" s="21"/>
      <c r="W74" s="21"/>
      <c r="X74" s="21"/>
      <c r="Y74" s="20" t="s">
        <v>408</v>
      </c>
      <c r="Z74" s="34"/>
      <c r="AA74" s="34" t="str">
        <f t="shared" si="12"/>
        <v/>
      </c>
      <c r="AB74" s="34" t="str">
        <f t="shared" si="13"/>
        <v/>
      </c>
      <c r="AC74" s="34"/>
      <c r="AD74" s="32"/>
      <c r="AE74" s="32"/>
      <c r="AF74" s="32"/>
      <c r="AG74" s="32"/>
      <c r="AH74" s="32"/>
      <c r="AI74" s="32"/>
      <c r="AJ74" s="32"/>
      <c r="AK74" s="34"/>
      <c r="AL74" s="32"/>
      <c r="AM74" s="21"/>
      <c r="AN74" s="34"/>
      <c r="AO74" s="34"/>
      <c r="AP74" s="34"/>
      <c r="AQ74" s="34"/>
      <c r="AR74" s="34"/>
      <c r="AS74" s="34" t="str">
        <f>IF(AB74&lt;&gt;"",AB74+IF(#REF!&lt;&gt;"",#REF!,0)+IF(AQ74&lt;&gt;"",AQ74,0)+IF(AR74&lt;&gt;"",AR74,0),"")</f>
        <v/>
      </c>
      <c r="AT74" s="34"/>
      <c r="AU74" s="34" t="str">
        <f t="shared" si="14"/>
        <v/>
      </c>
      <c r="AV74" s="21"/>
      <c r="AW74" s="21"/>
      <c r="AX74" s="21"/>
      <c r="AY74" s="21"/>
      <c r="AZ74" s="21"/>
    </row>
    <row r="75" spans="1:52" ht="21.75" customHeight="1" x14ac:dyDescent="0.35">
      <c r="A75" s="18">
        <f t="shared" si="10"/>
        <v>71</v>
      </c>
      <c r="B75" s="19"/>
      <c r="C75" s="27"/>
      <c r="D75" s="24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8"/>
      <c r="S75" s="28"/>
      <c r="T75" s="29" t="str">
        <f t="shared" si="11"/>
        <v/>
      </c>
      <c r="U75" s="19"/>
      <c r="V75" s="19"/>
      <c r="W75" s="19"/>
      <c r="X75" s="19"/>
      <c r="Y75" s="18" t="s">
        <v>408</v>
      </c>
      <c r="Z75" s="30"/>
      <c r="AA75" s="30" t="str">
        <f t="shared" si="12"/>
        <v/>
      </c>
      <c r="AB75" s="30" t="str">
        <f t="shared" si="13"/>
        <v/>
      </c>
      <c r="AC75" s="30"/>
      <c r="AD75" s="28"/>
      <c r="AE75" s="28"/>
      <c r="AF75" s="28"/>
      <c r="AG75" s="28"/>
      <c r="AH75" s="28"/>
      <c r="AI75" s="28"/>
      <c r="AJ75" s="28"/>
      <c r="AK75" s="30"/>
      <c r="AL75" s="28"/>
      <c r="AM75" s="19"/>
      <c r="AN75" s="30"/>
      <c r="AO75" s="30"/>
      <c r="AP75" s="30"/>
      <c r="AQ75" s="30"/>
      <c r="AR75" s="30"/>
      <c r="AS75" s="30" t="str">
        <f>IF(AB75&lt;&gt;"",AB75+IF(#REF!&lt;&gt;"",#REF!,0)+IF(AQ75&lt;&gt;"",AQ75,0)+IF(AR75&lt;&gt;"",AR75,0),"")</f>
        <v/>
      </c>
      <c r="AT75" s="30"/>
      <c r="AU75" s="30" t="str">
        <f t="shared" si="14"/>
        <v/>
      </c>
      <c r="AV75" s="19"/>
      <c r="AW75" s="19"/>
      <c r="AX75" s="19"/>
      <c r="AY75" s="19"/>
      <c r="AZ75" s="19"/>
    </row>
    <row r="76" spans="1:52" ht="21.75" customHeight="1" x14ac:dyDescent="0.35">
      <c r="A76" s="20">
        <f t="shared" si="10"/>
        <v>72</v>
      </c>
      <c r="B76" s="21"/>
      <c r="C76" s="31"/>
      <c r="D76" s="23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32"/>
      <c r="S76" s="32"/>
      <c r="T76" s="33" t="str">
        <f t="shared" si="11"/>
        <v/>
      </c>
      <c r="U76" s="21"/>
      <c r="V76" s="21"/>
      <c r="W76" s="21"/>
      <c r="X76" s="21"/>
      <c r="Y76" s="20" t="s">
        <v>408</v>
      </c>
      <c r="Z76" s="34"/>
      <c r="AA76" s="34" t="str">
        <f t="shared" si="12"/>
        <v/>
      </c>
      <c r="AB76" s="34" t="str">
        <f t="shared" si="13"/>
        <v/>
      </c>
      <c r="AC76" s="34"/>
      <c r="AD76" s="32"/>
      <c r="AE76" s="32"/>
      <c r="AF76" s="32"/>
      <c r="AG76" s="32"/>
      <c r="AH76" s="32"/>
      <c r="AI76" s="32"/>
      <c r="AJ76" s="32"/>
      <c r="AK76" s="34"/>
      <c r="AL76" s="32"/>
      <c r="AM76" s="21"/>
      <c r="AN76" s="34"/>
      <c r="AO76" s="34"/>
      <c r="AP76" s="34"/>
      <c r="AQ76" s="34"/>
      <c r="AR76" s="34"/>
      <c r="AS76" s="34" t="str">
        <f>IF(AB76&lt;&gt;"",AB76+IF(#REF!&lt;&gt;"",#REF!,0)+IF(AQ76&lt;&gt;"",AQ76,0)+IF(AR76&lt;&gt;"",AR76,0),"")</f>
        <v/>
      </c>
      <c r="AT76" s="34"/>
      <c r="AU76" s="34" t="str">
        <f t="shared" si="14"/>
        <v/>
      </c>
      <c r="AV76" s="21"/>
      <c r="AW76" s="21"/>
      <c r="AX76" s="21"/>
      <c r="AY76" s="21"/>
      <c r="AZ76" s="21"/>
    </row>
    <row r="77" spans="1:52" ht="21.75" customHeight="1" x14ac:dyDescent="0.35">
      <c r="A77" s="18">
        <f t="shared" si="10"/>
        <v>73</v>
      </c>
      <c r="B77" s="19"/>
      <c r="C77" s="27"/>
      <c r="D77" s="2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8"/>
      <c r="S77" s="28"/>
      <c r="T77" s="29" t="str">
        <f t="shared" si="11"/>
        <v/>
      </c>
      <c r="U77" s="19"/>
      <c r="V77" s="19"/>
      <c r="W77" s="19"/>
      <c r="X77" s="19"/>
      <c r="Y77" s="18" t="s">
        <v>408</v>
      </c>
      <c r="Z77" s="30"/>
      <c r="AA77" s="30" t="str">
        <f t="shared" si="12"/>
        <v/>
      </c>
      <c r="AB77" s="30" t="str">
        <f t="shared" si="13"/>
        <v/>
      </c>
      <c r="AC77" s="30"/>
      <c r="AD77" s="28"/>
      <c r="AE77" s="28"/>
      <c r="AF77" s="28"/>
      <c r="AG77" s="28"/>
      <c r="AH77" s="28"/>
      <c r="AI77" s="28"/>
      <c r="AJ77" s="28"/>
      <c r="AK77" s="30"/>
      <c r="AL77" s="28"/>
      <c r="AM77" s="19"/>
      <c r="AN77" s="30"/>
      <c r="AO77" s="30"/>
      <c r="AP77" s="30"/>
      <c r="AQ77" s="30"/>
      <c r="AR77" s="30"/>
      <c r="AS77" s="30" t="str">
        <f>IF(AB77&lt;&gt;"",AB77+IF(#REF!&lt;&gt;"",#REF!,0)+IF(AQ77&lt;&gt;"",AQ77,0)+IF(AR77&lt;&gt;"",AR77,0),"")</f>
        <v/>
      </c>
      <c r="AT77" s="30"/>
      <c r="AU77" s="30" t="str">
        <f t="shared" si="14"/>
        <v/>
      </c>
      <c r="AV77" s="19"/>
      <c r="AW77" s="19"/>
      <c r="AX77" s="19"/>
      <c r="AY77" s="19"/>
      <c r="AZ77" s="19"/>
    </row>
    <row r="78" spans="1:52" ht="21.75" customHeight="1" x14ac:dyDescent="0.35">
      <c r="A78" s="20">
        <f t="shared" si="10"/>
        <v>74</v>
      </c>
      <c r="B78" s="21"/>
      <c r="C78" s="31"/>
      <c r="D78" s="23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32"/>
      <c r="S78" s="32"/>
      <c r="T78" s="33" t="str">
        <f t="shared" si="11"/>
        <v/>
      </c>
      <c r="U78" s="21"/>
      <c r="V78" s="21"/>
      <c r="W78" s="21"/>
      <c r="X78" s="21"/>
      <c r="Y78" s="20" t="s">
        <v>408</v>
      </c>
      <c r="Z78" s="34"/>
      <c r="AA78" s="34" t="str">
        <f t="shared" si="12"/>
        <v/>
      </c>
      <c r="AB78" s="34" t="str">
        <f t="shared" si="13"/>
        <v/>
      </c>
      <c r="AC78" s="34"/>
      <c r="AD78" s="32"/>
      <c r="AE78" s="32"/>
      <c r="AF78" s="32"/>
      <c r="AG78" s="32"/>
      <c r="AH78" s="32"/>
      <c r="AI78" s="32"/>
      <c r="AJ78" s="32"/>
      <c r="AK78" s="34"/>
      <c r="AL78" s="32"/>
      <c r="AM78" s="21"/>
      <c r="AN78" s="34"/>
      <c r="AO78" s="34"/>
      <c r="AP78" s="34"/>
      <c r="AQ78" s="34"/>
      <c r="AR78" s="34"/>
      <c r="AS78" s="34" t="str">
        <f>IF(AB78&lt;&gt;"",AB78+IF(#REF!&lt;&gt;"",#REF!,0)+IF(AQ78&lt;&gt;"",AQ78,0)+IF(AR78&lt;&gt;"",AR78,0),"")</f>
        <v/>
      </c>
      <c r="AT78" s="34"/>
      <c r="AU78" s="34" t="str">
        <f t="shared" si="14"/>
        <v/>
      </c>
      <c r="AV78" s="21"/>
      <c r="AW78" s="21"/>
      <c r="AX78" s="21"/>
      <c r="AY78" s="21"/>
      <c r="AZ78" s="21"/>
    </row>
    <row r="79" spans="1:52" ht="21.75" customHeight="1" x14ac:dyDescent="0.35">
      <c r="A79" s="18">
        <f t="shared" si="10"/>
        <v>75</v>
      </c>
      <c r="B79" s="19"/>
      <c r="C79" s="27"/>
      <c r="D79" s="24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8"/>
      <c r="S79" s="28"/>
      <c r="T79" s="29" t="str">
        <f t="shared" si="11"/>
        <v/>
      </c>
      <c r="U79" s="19"/>
      <c r="V79" s="19"/>
      <c r="W79" s="19"/>
      <c r="X79" s="19"/>
      <c r="Y79" s="18" t="s">
        <v>408</v>
      </c>
      <c r="Z79" s="30"/>
      <c r="AA79" s="30" t="str">
        <f t="shared" si="12"/>
        <v/>
      </c>
      <c r="AB79" s="30" t="str">
        <f t="shared" si="13"/>
        <v/>
      </c>
      <c r="AC79" s="30"/>
      <c r="AD79" s="28"/>
      <c r="AE79" s="28"/>
      <c r="AF79" s="28"/>
      <c r="AG79" s="28"/>
      <c r="AH79" s="28"/>
      <c r="AI79" s="28"/>
      <c r="AJ79" s="28"/>
      <c r="AK79" s="30"/>
      <c r="AL79" s="28"/>
      <c r="AM79" s="19"/>
      <c r="AN79" s="30"/>
      <c r="AO79" s="30"/>
      <c r="AP79" s="30"/>
      <c r="AQ79" s="30"/>
      <c r="AR79" s="30"/>
      <c r="AS79" s="30" t="str">
        <f>IF(AB79&lt;&gt;"",AB79+IF(#REF!&lt;&gt;"",#REF!,0)+IF(AQ79&lt;&gt;"",AQ79,0)+IF(AR79&lt;&gt;"",AR79,0),"")</f>
        <v/>
      </c>
      <c r="AT79" s="30"/>
      <c r="AU79" s="30" t="str">
        <f t="shared" si="14"/>
        <v/>
      </c>
      <c r="AV79" s="19"/>
      <c r="AW79" s="19"/>
      <c r="AX79" s="19"/>
      <c r="AY79" s="19"/>
      <c r="AZ79" s="19"/>
    </row>
    <row r="80" spans="1:52" ht="21.75" customHeight="1" x14ac:dyDescent="0.35">
      <c r="A80" s="20">
        <f t="shared" si="10"/>
        <v>76</v>
      </c>
      <c r="B80" s="21"/>
      <c r="C80" s="31"/>
      <c r="D80" s="23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32"/>
      <c r="S80" s="32"/>
      <c r="T80" s="33" t="str">
        <f t="shared" si="11"/>
        <v/>
      </c>
      <c r="U80" s="21"/>
      <c r="V80" s="21"/>
      <c r="W80" s="21"/>
      <c r="X80" s="21"/>
      <c r="Y80" s="20" t="s">
        <v>408</v>
      </c>
      <c r="Z80" s="34"/>
      <c r="AA80" s="34" t="str">
        <f t="shared" si="12"/>
        <v/>
      </c>
      <c r="AB80" s="34" t="str">
        <f t="shared" si="13"/>
        <v/>
      </c>
      <c r="AC80" s="34"/>
      <c r="AD80" s="32"/>
      <c r="AE80" s="32"/>
      <c r="AF80" s="32"/>
      <c r="AG80" s="32"/>
      <c r="AH80" s="32"/>
      <c r="AI80" s="32"/>
      <c r="AJ80" s="32"/>
      <c r="AK80" s="34"/>
      <c r="AL80" s="32"/>
      <c r="AM80" s="21"/>
      <c r="AN80" s="34"/>
      <c r="AO80" s="34"/>
      <c r="AP80" s="34"/>
      <c r="AQ80" s="34"/>
      <c r="AR80" s="34"/>
      <c r="AS80" s="34" t="str">
        <f>IF(AB80&lt;&gt;"",AB80+IF(#REF!&lt;&gt;"",#REF!,0)+IF(AQ80&lt;&gt;"",AQ80,0)+IF(AR80&lt;&gt;"",AR80,0),"")</f>
        <v/>
      </c>
      <c r="AT80" s="34"/>
      <c r="AU80" s="34" t="str">
        <f t="shared" si="14"/>
        <v/>
      </c>
      <c r="AV80" s="21"/>
      <c r="AW80" s="21"/>
      <c r="AX80" s="21"/>
      <c r="AY80" s="21"/>
      <c r="AZ80" s="21"/>
    </row>
    <row r="81" spans="1:52" ht="21.75" customHeight="1" x14ac:dyDescent="0.35">
      <c r="A81" s="18">
        <f t="shared" si="10"/>
        <v>77</v>
      </c>
      <c r="B81" s="19"/>
      <c r="C81" s="27"/>
      <c r="D81" s="24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8"/>
      <c r="S81" s="28"/>
      <c r="T81" s="29" t="str">
        <f t="shared" si="11"/>
        <v/>
      </c>
      <c r="U81" s="19"/>
      <c r="V81" s="19"/>
      <c r="W81" s="19"/>
      <c r="X81" s="19"/>
      <c r="Y81" s="18" t="s">
        <v>408</v>
      </c>
      <c r="Z81" s="30"/>
      <c r="AA81" s="30" t="str">
        <f t="shared" si="12"/>
        <v/>
      </c>
      <c r="AB81" s="30" t="str">
        <f t="shared" si="13"/>
        <v/>
      </c>
      <c r="AC81" s="30"/>
      <c r="AD81" s="28"/>
      <c r="AE81" s="28"/>
      <c r="AF81" s="28"/>
      <c r="AG81" s="28"/>
      <c r="AH81" s="28"/>
      <c r="AI81" s="28"/>
      <c r="AJ81" s="28"/>
      <c r="AK81" s="30"/>
      <c r="AL81" s="28"/>
      <c r="AM81" s="19"/>
      <c r="AN81" s="30"/>
      <c r="AO81" s="30"/>
      <c r="AP81" s="30"/>
      <c r="AQ81" s="30"/>
      <c r="AR81" s="30"/>
      <c r="AS81" s="30" t="str">
        <f>IF(AB81&lt;&gt;"",AB81+IF(#REF!&lt;&gt;"",#REF!,0)+IF(AQ81&lt;&gt;"",AQ81,0)+IF(AR81&lt;&gt;"",AR81,0),"")</f>
        <v/>
      </c>
      <c r="AT81" s="30"/>
      <c r="AU81" s="30" t="str">
        <f t="shared" si="14"/>
        <v/>
      </c>
      <c r="AV81" s="19"/>
      <c r="AW81" s="19"/>
      <c r="AX81" s="19"/>
      <c r="AY81" s="19"/>
      <c r="AZ81" s="19"/>
    </row>
    <row r="82" spans="1:52" ht="21.75" customHeight="1" x14ac:dyDescent="0.35">
      <c r="A82" s="20">
        <f t="shared" si="10"/>
        <v>78</v>
      </c>
      <c r="B82" s="21"/>
      <c r="C82" s="31"/>
      <c r="D82" s="23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32"/>
      <c r="S82" s="32"/>
      <c r="T82" s="33" t="str">
        <f t="shared" si="11"/>
        <v/>
      </c>
      <c r="U82" s="21"/>
      <c r="V82" s="21"/>
      <c r="W82" s="21"/>
      <c r="X82" s="21"/>
      <c r="Y82" s="20" t="s">
        <v>408</v>
      </c>
      <c r="Z82" s="34"/>
      <c r="AA82" s="34" t="str">
        <f t="shared" si="12"/>
        <v/>
      </c>
      <c r="AB82" s="34" t="str">
        <f t="shared" si="13"/>
        <v/>
      </c>
      <c r="AC82" s="34"/>
      <c r="AD82" s="32"/>
      <c r="AE82" s="32"/>
      <c r="AF82" s="32"/>
      <c r="AG82" s="32"/>
      <c r="AH82" s="32"/>
      <c r="AI82" s="32"/>
      <c r="AJ82" s="32"/>
      <c r="AK82" s="34"/>
      <c r="AL82" s="32"/>
      <c r="AM82" s="21"/>
      <c r="AN82" s="34"/>
      <c r="AO82" s="34"/>
      <c r="AP82" s="34"/>
      <c r="AQ82" s="34"/>
      <c r="AR82" s="34"/>
      <c r="AS82" s="34" t="str">
        <f>IF(AB82&lt;&gt;"",AB82+IF(#REF!&lt;&gt;"",#REF!,0)+IF(AQ82&lt;&gt;"",AQ82,0)+IF(AR82&lt;&gt;"",AR82,0),"")</f>
        <v/>
      </c>
      <c r="AT82" s="34"/>
      <c r="AU82" s="34" t="str">
        <f t="shared" si="14"/>
        <v/>
      </c>
      <c r="AV82" s="21"/>
      <c r="AW82" s="21"/>
      <c r="AX82" s="21"/>
      <c r="AY82" s="21"/>
      <c r="AZ82" s="21"/>
    </row>
    <row r="83" spans="1:52" ht="21.75" customHeight="1" x14ac:dyDescent="0.35">
      <c r="A83" s="18">
        <f t="shared" si="10"/>
        <v>79</v>
      </c>
      <c r="B83" s="19"/>
      <c r="C83" s="27"/>
      <c r="D83" s="24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28"/>
      <c r="S83" s="28"/>
      <c r="T83" s="29" t="str">
        <f t="shared" si="11"/>
        <v/>
      </c>
      <c r="U83" s="19"/>
      <c r="V83" s="19"/>
      <c r="W83" s="19"/>
      <c r="X83" s="19"/>
      <c r="Y83" s="18" t="s">
        <v>408</v>
      </c>
      <c r="Z83" s="30"/>
      <c r="AA83" s="30" t="str">
        <f t="shared" si="12"/>
        <v/>
      </c>
      <c r="AB83" s="30" t="str">
        <f t="shared" si="13"/>
        <v/>
      </c>
      <c r="AC83" s="30"/>
      <c r="AD83" s="28"/>
      <c r="AE83" s="28"/>
      <c r="AF83" s="28"/>
      <c r="AG83" s="28"/>
      <c r="AH83" s="28"/>
      <c r="AI83" s="28"/>
      <c r="AJ83" s="28"/>
      <c r="AK83" s="30"/>
      <c r="AL83" s="28"/>
      <c r="AM83" s="19"/>
      <c r="AN83" s="30"/>
      <c r="AO83" s="30"/>
      <c r="AP83" s="30"/>
      <c r="AQ83" s="30"/>
      <c r="AR83" s="30"/>
      <c r="AS83" s="30" t="str">
        <f>IF(AB83&lt;&gt;"",AB83+IF(#REF!&lt;&gt;"",#REF!,0)+IF(AQ83&lt;&gt;"",AQ83,0)+IF(AR83&lt;&gt;"",AR83,0),"")</f>
        <v/>
      </c>
      <c r="AT83" s="30"/>
      <c r="AU83" s="30" t="str">
        <f t="shared" si="14"/>
        <v/>
      </c>
      <c r="AV83" s="19"/>
      <c r="AW83" s="19"/>
      <c r="AX83" s="19"/>
      <c r="AY83" s="19"/>
      <c r="AZ83" s="19"/>
    </row>
    <row r="84" spans="1:52" ht="21.75" customHeight="1" x14ac:dyDescent="0.35">
      <c r="A84" s="20">
        <f t="shared" si="10"/>
        <v>80</v>
      </c>
      <c r="B84" s="21"/>
      <c r="C84" s="31"/>
      <c r="D84" s="23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32"/>
      <c r="S84" s="32"/>
      <c r="T84" s="33" t="str">
        <f t="shared" si="11"/>
        <v/>
      </c>
      <c r="U84" s="21"/>
      <c r="V84" s="21"/>
      <c r="W84" s="21"/>
      <c r="X84" s="21"/>
      <c r="Y84" s="20" t="s">
        <v>408</v>
      </c>
      <c r="Z84" s="34"/>
      <c r="AA84" s="34" t="str">
        <f t="shared" si="12"/>
        <v/>
      </c>
      <c r="AB84" s="34" t="str">
        <f t="shared" si="13"/>
        <v/>
      </c>
      <c r="AC84" s="34"/>
      <c r="AD84" s="32"/>
      <c r="AE84" s="32"/>
      <c r="AF84" s="32"/>
      <c r="AG84" s="32"/>
      <c r="AH84" s="32"/>
      <c r="AI84" s="32"/>
      <c r="AJ84" s="32"/>
      <c r="AK84" s="34"/>
      <c r="AL84" s="32"/>
      <c r="AM84" s="21"/>
      <c r="AN84" s="34"/>
      <c r="AO84" s="34"/>
      <c r="AP84" s="34"/>
      <c r="AQ84" s="34"/>
      <c r="AR84" s="34"/>
      <c r="AS84" s="34" t="str">
        <f>IF(AB84&lt;&gt;"",AB84+IF(#REF!&lt;&gt;"",#REF!,0)+IF(AQ84&lt;&gt;"",AQ84,0)+IF(AR84&lt;&gt;"",AR84,0),"")</f>
        <v/>
      </c>
      <c r="AT84" s="34"/>
      <c r="AU84" s="34" t="str">
        <f t="shared" si="14"/>
        <v/>
      </c>
      <c r="AV84" s="21"/>
      <c r="AW84" s="21"/>
      <c r="AX84" s="21"/>
      <c r="AY84" s="21"/>
      <c r="AZ84" s="21"/>
    </row>
    <row r="85" spans="1:52" ht="21.75" customHeight="1" x14ac:dyDescent="0.35">
      <c r="A85" s="18">
        <f t="shared" si="10"/>
        <v>81</v>
      </c>
      <c r="B85" s="19"/>
      <c r="C85" s="27"/>
      <c r="D85" s="24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28"/>
      <c r="S85" s="28"/>
      <c r="T85" s="29" t="str">
        <f t="shared" si="11"/>
        <v/>
      </c>
      <c r="U85" s="19"/>
      <c r="V85" s="19"/>
      <c r="W85" s="19"/>
      <c r="X85" s="19"/>
      <c r="Y85" s="18" t="s">
        <v>408</v>
      </c>
      <c r="Z85" s="30"/>
      <c r="AA85" s="30" t="str">
        <f t="shared" si="12"/>
        <v/>
      </c>
      <c r="AB85" s="30" t="str">
        <f t="shared" si="13"/>
        <v/>
      </c>
      <c r="AC85" s="30"/>
      <c r="AD85" s="28"/>
      <c r="AE85" s="28"/>
      <c r="AF85" s="28"/>
      <c r="AG85" s="28"/>
      <c r="AH85" s="28"/>
      <c r="AI85" s="28"/>
      <c r="AJ85" s="28"/>
      <c r="AK85" s="30"/>
      <c r="AL85" s="28"/>
      <c r="AM85" s="19"/>
      <c r="AN85" s="30"/>
      <c r="AO85" s="30"/>
      <c r="AP85" s="30"/>
      <c r="AQ85" s="30"/>
      <c r="AR85" s="30"/>
      <c r="AS85" s="30" t="str">
        <f>IF(AB85&lt;&gt;"",AB85+IF(#REF!&lt;&gt;"",#REF!,0)+IF(AQ85&lt;&gt;"",AQ85,0)+IF(AR85&lt;&gt;"",AR85,0),"")</f>
        <v/>
      </c>
      <c r="AT85" s="30"/>
      <c r="AU85" s="30" t="str">
        <f t="shared" si="14"/>
        <v/>
      </c>
      <c r="AV85" s="19"/>
      <c r="AW85" s="19"/>
      <c r="AX85" s="19"/>
      <c r="AY85" s="19"/>
      <c r="AZ85" s="19"/>
    </row>
    <row r="86" spans="1:52" ht="21.75" customHeight="1" x14ac:dyDescent="0.35">
      <c r="A86" s="20">
        <f t="shared" si="10"/>
        <v>82</v>
      </c>
      <c r="B86" s="21"/>
      <c r="C86" s="31"/>
      <c r="D86" s="23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32"/>
      <c r="S86" s="32"/>
      <c r="T86" s="33" t="str">
        <f t="shared" si="11"/>
        <v/>
      </c>
      <c r="U86" s="21"/>
      <c r="V86" s="21"/>
      <c r="W86" s="21"/>
      <c r="X86" s="21"/>
      <c r="Y86" s="20" t="s">
        <v>408</v>
      </c>
      <c r="Z86" s="34"/>
      <c r="AA86" s="34" t="str">
        <f t="shared" si="12"/>
        <v/>
      </c>
      <c r="AB86" s="34" t="str">
        <f t="shared" si="13"/>
        <v/>
      </c>
      <c r="AC86" s="34"/>
      <c r="AD86" s="32"/>
      <c r="AE86" s="32"/>
      <c r="AF86" s="32"/>
      <c r="AG86" s="32"/>
      <c r="AH86" s="32"/>
      <c r="AI86" s="32"/>
      <c r="AJ86" s="32"/>
      <c r="AK86" s="34"/>
      <c r="AL86" s="32"/>
      <c r="AM86" s="21"/>
      <c r="AN86" s="34"/>
      <c r="AO86" s="34"/>
      <c r="AP86" s="34"/>
      <c r="AQ86" s="34"/>
      <c r="AR86" s="34"/>
      <c r="AS86" s="34" t="str">
        <f>IF(AB86&lt;&gt;"",AB86+IF(#REF!&lt;&gt;"",#REF!,0)+IF(AQ86&lt;&gt;"",AQ86,0)+IF(AR86&lt;&gt;"",AR86,0),"")</f>
        <v/>
      </c>
      <c r="AT86" s="34"/>
      <c r="AU86" s="34" t="str">
        <f t="shared" si="14"/>
        <v/>
      </c>
      <c r="AV86" s="21"/>
      <c r="AW86" s="21"/>
      <c r="AX86" s="21"/>
      <c r="AY86" s="21"/>
      <c r="AZ86" s="21"/>
    </row>
    <row r="87" spans="1:52" ht="21.75" customHeight="1" x14ac:dyDescent="0.35">
      <c r="A87" s="18">
        <f t="shared" si="10"/>
        <v>83</v>
      </c>
      <c r="B87" s="19"/>
      <c r="C87" s="27"/>
      <c r="D87" s="24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8"/>
      <c r="S87" s="28"/>
      <c r="T87" s="29" t="str">
        <f t="shared" si="11"/>
        <v/>
      </c>
      <c r="U87" s="19"/>
      <c r="V87" s="19"/>
      <c r="W87" s="19"/>
      <c r="X87" s="19"/>
      <c r="Y87" s="18" t="s">
        <v>408</v>
      </c>
      <c r="Z87" s="30"/>
      <c r="AA87" s="30" t="str">
        <f t="shared" si="12"/>
        <v/>
      </c>
      <c r="AB87" s="30" t="str">
        <f t="shared" si="13"/>
        <v/>
      </c>
      <c r="AC87" s="30"/>
      <c r="AD87" s="28"/>
      <c r="AE87" s="28"/>
      <c r="AF87" s="28"/>
      <c r="AG87" s="28"/>
      <c r="AH87" s="28"/>
      <c r="AI87" s="28"/>
      <c r="AJ87" s="28"/>
      <c r="AK87" s="30"/>
      <c r="AL87" s="28"/>
      <c r="AM87" s="19"/>
      <c r="AN87" s="30"/>
      <c r="AO87" s="30"/>
      <c r="AP87" s="30"/>
      <c r="AQ87" s="30"/>
      <c r="AR87" s="30"/>
      <c r="AS87" s="30" t="str">
        <f>IF(AB87&lt;&gt;"",AB87+IF(#REF!&lt;&gt;"",#REF!,0)+IF(AQ87&lt;&gt;"",AQ87,0)+IF(AR87&lt;&gt;"",AR87,0),"")</f>
        <v/>
      </c>
      <c r="AT87" s="30"/>
      <c r="AU87" s="30" t="str">
        <f t="shared" si="14"/>
        <v/>
      </c>
      <c r="AV87" s="19"/>
      <c r="AW87" s="19"/>
      <c r="AX87" s="19"/>
      <c r="AY87" s="19"/>
      <c r="AZ87" s="19"/>
    </row>
    <row r="88" spans="1:52" ht="21.75" customHeight="1" x14ac:dyDescent="0.35">
      <c r="A88" s="20">
        <f t="shared" si="10"/>
        <v>84</v>
      </c>
      <c r="B88" s="21"/>
      <c r="C88" s="31"/>
      <c r="D88" s="23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32"/>
      <c r="S88" s="32"/>
      <c r="T88" s="33" t="str">
        <f t="shared" si="11"/>
        <v/>
      </c>
      <c r="U88" s="21"/>
      <c r="V88" s="21"/>
      <c r="W88" s="21"/>
      <c r="X88" s="21"/>
      <c r="Y88" s="20" t="s">
        <v>408</v>
      </c>
      <c r="Z88" s="34"/>
      <c r="AA88" s="34" t="str">
        <f t="shared" si="12"/>
        <v/>
      </c>
      <c r="AB88" s="34" t="str">
        <f t="shared" si="13"/>
        <v/>
      </c>
      <c r="AC88" s="34"/>
      <c r="AD88" s="32"/>
      <c r="AE88" s="32"/>
      <c r="AF88" s="32"/>
      <c r="AG88" s="32"/>
      <c r="AH88" s="32"/>
      <c r="AI88" s="32"/>
      <c r="AJ88" s="32"/>
      <c r="AK88" s="34"/>
      <c r="AL88" s="32"/>
      <c r="AM88" s="21"/>
      <c r="AN88" s="34"/>
      <c r="AO88" s="34"/>
      <c r="AP88" s="34"/>
      <c r="AQ88" s="34"/>
      <c r="AR88" s="34"/>
      <c r="AS88" s="34" t="str">
        <f>IF(AB88&lt;&gt;"",AB88+IF(#REF!&lt;&gt;"",#REF!,0)+IF(AQ88&lt;&gt;"",AQ88,0)+IF(AR88&lt;&gt;"",AR88,0),"")</f>
        <v/>
      </c>
      <c r="AT88" s="34"/>
      <c r="AU88" s="34" t="str">
        <f t="shared" si="14"/>
        <v/>
      </c>
      <c r="AV88" s="21"/>
      <c r="AW88" s="21"/>
      <c r="AX88" s="21"/>
      <c r="AY88" s="21"/>
      <c r="AZ88" s="21"/>
    </row>
    <row r="89" spans="1:52" ht="21.75" customHeight="1" x14ac:dyDescent="0.35">
      <c r="A89" s="18">
        <f t="shared" si="10"/>
        <v>85</v>
      </c>
      <c r="B89" s="19"/>
      <c r="C89" s="27"/>
      <c r="D89" s="2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28"/>
      <c r="S89" s="28"/>
      <c r="T89" s="29" t="str">
        <f t="shared" si="11"/>
        <v/>
      </c>
      <c r="U89" s="19"/>
      <c r="V89" s="19"/>
      <c r="W89" s="19"/>
      <c r="X89" s="19"/>
      <c r="Y89" s="18" t="s">
        <v>408</v>
      </c>
      <c r="Z89" s="30"/>
      <c r="AA89" s="30" t="str">
        <f t="shared" si="12"/>
        <v/>
      </c>
      <c r="AB89" s="30" t="str">
        <f t="shared" si="13"/>
        <v/>
      </c>
      <c r="AC89" s="30"/>
      <c r="AD89" s="28"/>
      <c r="AE89" s="28"/>
      <c r="AF89" s="28"/>
      <c r="AG89" s="28"/>
      <c r="AH89" s="28"/>
      <c r="AI89" s="28"/>
      <c r="AJ89" s="28"/>
      <c r="AK89" s="30"/>
      <c r="AL89" s="28"/>
      <c r="AM89" s="19"/>
      <c r="AN89" s="30"/>
      <c r="AO89" s="30"/>
      <c r="AP89" s="30"/>
      <c r="AQ89" s="30"/>
      <c r="AR89" s="30"/>
      <c r="AS89" s="30" t="str">
        <f>IF(AB89&lt;&gt;"",AB89+IF(#REF!&lt;&gt;"",#REF!,0)+IF(AQ89&lt;&gt;"",AQ89,0)+IF(AR89&lt;&gt;"",AR89,0),"")</f>
        <v/>
      </c>
      <c r="AT89" s="30"/>
      <c r="AU89" s="30" t="str">
        <f t="shared" si="14"/>
        <v/>
      </c>
      <c r="AV89" s="19"/>
      <c r="AW89" s="19"/>
      <c r="AX89" s="19"/>
      <c r="AY89" s="19"/>
      <c r="AZ89" s="19"/>
    </row>
    <row r="90" spans="1:52" ht="21.75" customHeight="1" x14ac:dyDescent="0.35">
      <c r="A90" s="20">
        <f t="shared" si="10"/>
        <v>86</v>
      </c>
      <c r="B90" s="21"/>
      <c r="C90" s="31"/>
      <c r="D90" s="23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32"/>
      <c r="S90" s="32"/>
      <c r="T90" s="33" t="str">
        <f t="shared" si="11"/>
        <v/>
      </c>
      <c r="U90" s="21"/>
      <c r="V90" s="21"/>
      <c r="W90" s="21"/>
      <c r="X90" s="21"/>
      <c r="Y90" s="20" t="s">
        <v>408</v>
      </c>
      <c r="Z90" s="34"/>
      <c r="AA90" s="34" t="str">
        <f t="shared" si="12"/>
        <v/>
      </c>
      <c r="AB90" s="34" t="str">
        <f t="shared" si="13"/>
        <v/>
      </c>
      <c r="AC90" s="34"/>
      <c r="AD90" s="32"/>
      <c r="AE90" s="32"/>
      <c r="AF90" s="32"/>
      <c r="AG90" s="32"/>
      <c r="AH90" s="32"/>
      <c r="AI90" s="32"/>
      <c r="AJ90" s="32"/>
      <c r="AK90" s="34"/>
      <c r="AL90" s="32"/>
      <c r="AM90" s="21"/>
      <c r="AN90" s="34"/>
      <c r="AO90" s="34"/>
      <c r="AP90" s="34"/>
      <c r="AQ90" s="34"/>
      <c r="AR90" s="34"/>
      <c r="AS90" s="34" t="str">
        <f>IF(AB90&lt;&gt;"",AB90+IF(#REF!&lt;&gt;"",#REF!,0)+IF(AQ90&lt;&gt;"",AQ90,0)+IF(AR90&lt;&gt;"",AR90,0),"")</f>
        <v/>
      </c>
      <c r="AT90" s="34"/>
      <c r="AU90" s="34" t="str">
        <f t="shared" si="14"/>
        <v/>
      </c>
      <c r="AV90" s="21"/>
      <c r="AW90" s="21"/>
      <c r="AX90" s="21"/>
      <c r="AY90" s="21"/>
      <c r="AZ90" s="21"/>
    </row>
    <row r="91" spans="1:52" ht="21.75" customHeight="1" x14ac:dyDescent="0.35">
      <c r="A91" s="18">
        <f t="shared" si="10"/>
        <v>87</v>
      </c>
      <c r="B91" s="19"/>
      <c r="C91" s="27"/>
      <c r="D91" s="24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28"/>
      <c r="S91" s="28"/>
      <c r="T91" s="29" t="str">
        <f t="shared" si="11"/>
        <v/>
      </c>
      <c r="U91" s="19"/>
      <c r="V91" s="19"/>
      <c r="W91" s="19"/>
      <c r="X91" s="19"/>
      <c r="Y91" s="18" t="s">
        <v>408</v>
      </c>
      <c r="Z91" s="30"/>
      <c r="AA91" s="30" t="str">
        <f t="shared" si="12"/>
        <v/>
      </c>
      <c r="AB91" s="30" t="str">
        <f t="shared" si="13"/>
        <v/>
      </c>
      <c r="AC91" s="30"/>
      <c r="AD91" s="28"/>
      <c r="AE91" s="28"/>
      <c r="AF91" s="28"/>
      <c r="AG91" s="28"/>
      <c r="AH91" s="28"/>
      <c r="AI91" s="28"/>
      <c r="AJ91" s="28"/>
      <c r="AK91" s="30"/>
      <c r="AL91" s="28"/>
      <c r="AM91" s="19"/>
      <c r="AN91" s="30"/>
      <c r="AO91" s="30"/>
      <c r="AP91" s="30"/>
      <c r="AQ91" s="30"/>
      <c r="AR91" s="30"/>
      <c r="AS91" s="30" t="str">
        <f>IF(AB91&lt;&gt;"",AB91+IF(#REF!&lt;&gt;"",#REF!,0)+IF(AQ91&lt;&gt;"",AQ91,0)+IF(AR91&lt;&gt;"",AR91,0),"")</f>
        <v/>
      </c>
      <c r="AT91" s="30"/>
      <c r="AU91" s="30" t="str">
        <f t="shared" si="14"/>
        <v/>
      </c>
      <c r="AV91" s="19"/>
      <c r="AW91" s="19"/>
      <c r="AX91" s="19"/>
      <c r="AY91" s="19"/>
      <c r="AZ91" s="19"/>
    </row>
    <row r="92" spans="1:52" ht="21.75" customHeight="1" x14ac:dyDescent="0.35">
      <c r="A92" s="20">
        <f t="shared" si="10"/>
        <v>88</v>
      </c>
      <c r="B92" s="21"/>
      <c r="C92" s="31"/>
      <c r="D92" s="23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32"/>
      <c r="S92" s="32"/>
      <c r="T92" s="33" t="str">
        <f t="shared" si="11"/>
        <v/>
      </c>
      <c r="U92" s="21"/>
      <c r="V92" s="21"/>
      <c r="W92" s="21"/>
      <c r="X92" s="21"/>
      <c r="Y92" s="20" t="s">
        <v>408</v>
      </c>
      <c r="Z92" s="34"/>
      <c r="AA92" s="34" t="str">
        <f t="shared" si="12"/>
        <v/>
      </c>
      <c r="AB92" s="34" t="str">
        <f t="shared" si="13"/>
        <v/>
      </c>
      <c r="AC92" s="34"/>
      <c r="AD92" s="32"/>
      <c r="AE92" s="32"/>
      <c r="AF92" s="32"/>
      <c r="AG92" s="32"/>
      <c r="AH92" s="32"/>
      <c r="AI92" s="32"/>
      <c r="AJ92" s="32"/>
      <c r="AK92" s="34"/>
      <c r="AL92" s="32"/>
      <c r="AM92" s="21"/>
      <c r="AN92" s="34"/>
      <c r="AO92" s="34"/>
      <c r="AP92" s="34"/>
      <c r="AQ92" s="34"/>
      <c r="AR92" s="34"/>
      <c r="AS92" s="34" t="str">
        <f>IF(AB92&lt;&gt;"",AB92+IF(#REF!&lt;&gt;"",#REF!,0)+IF(AQ92&lt;&gt;"",AQ92,0)+IF(AR92&lt;&gt;"",AR92,0),"")</f>
        <v/>
      </c>
      <c r="AT92" s="34"/>
      <c r="AU92" s="34" t="str">
        <f t="shared" si="14"/>
        <v/>
      </c>
      <c r="AV92" s="21"/>
      <c r="AW92" s="21"/>
      <c r="AX92" s="21"/>
      <c r="AY92" s="21"/>
      <c r="AZ92" s="21"/>
    </row>
    <row r="93" spans="1:52" ht="21.75" customHeight="1" x14ac:dyDescent="0.35">
      <c r="A93" s="18">
        <f t="shared" si="10"/>
        <v>89</v>
      </c>
      <c r="B93" s="19"/>
      <c r="C93" s="27"/>
      <c r="D93" s="24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28"/>
      <c r="S93" s="28"/>
      <c r="T93" s="29" t="str">
        <f t="shared" si="11"/>
        <v/>
      </c>
      <c r="U93" s="19"/>
      <c r="V93" s="19"/>
      <c r="W93" s="19"/>
      <c r="X93" s="19"/>
      <c r="Y93" s="18" t="s">
        <v>408</v>
      </c>
      <c r="Z93" s="30"/>
      <c r="AA93" s="30" t="str">
        <f t="shared" si="12"/>
        <v/>
      </c>
      <c r="AB93" s="30" t="str">
        <f t="shared" si="13"/>
        <v/>
      </c>
      <c r="AC93" s="30"/>
      <c r="AD93" s="28"/>
      <c r="AE93" s="28"/>
      <c r="AF93" s="28"/>
      <c r="AG93" s="28"/>
      <c r="AH93" s="28"/>
      <c r="AI93" s="28"/>
      <c r="AJ93" s="28"/>
      <c r="AK93" s="30"/>
      <c r="AL93" s="28"/>
      <c r="AM93" s="19"/>
      <c r="AN93" s="30"/>
      <c r="AO93" s="30"/>
      <c r="AP93" s="30"/>
      <c r="AQ93" s="30"/>
      <c r="AR93" s="30"/>
      <c r="AS93" s="30" t="str">
        <f>IF(AB93&lt;&gt;"",AB93+IF(#REF!&lt;&gt;"",#REF!,0)+IF(AQ93&lt;&gt;"",AQ93,0)+IF(AR93&lt;&gt;"",AR93,0),"")</f>
        <v/>
      </c>
      <c r="AT93" s="30"/>
      <c r="AU93" s="30" t="str">
        <f t="shared" si="14"/>
        <v/>
      </c>
      <c r="AV93" s="19"/>
      <c r="AW93" s="19"/>
      <c r="AX93" s="19"/>
      <c r="AY93" s="19"/>
      <c r="AZ93" s="19"/>
    </row>
    <row r="94" spans="1:52" ht="21.75" customHeight="1" x14ac:dyDescent="0.35">
      <c r="A94" s="20">
        <f t="shared" si="10"/>
        <v>90</v>
      </c>
      <c r="B94" s="21"/>
      <c r="C94" s="31"/>
      <c r="D94" s="23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32"/>
      <c r="S94" s="32"/>
      <c r="T94" s="33" t="str">
        <f t="shared" si="11"/>
        <v/>
      </c>
      <c r="U94" s="21"/>
      <c r="V94" s="21"/>
      <c r="W94" s="21"/>
      <c r="X94" s="21"/>
      <c r="Y94" s="20" t="s">
        <v>408</v>
      </c>
      <c r="Z94" s="34"/>
      <c r="AA94" s="34" t="str">
        <f t="shared" si="12"/>
        <v/>
      </c>
      <c r="AB94" s="34" t="str">
        <f t="shared" si="13"/>
        <v/>
      </c>
      <c r="AC94" s="34"/>
      <c r="AD94" s="32"/>
      <c r="AE94" s="32"/>
      <c r="AF94" s="32"/>
      <c r="AG94" s="32"/>
      <c r="AH94" s="32"/>
      <c r="AI94" s="32"/>
      <c r="AJ94" s="32"/>
      <c r="AK94" s="34"/>
      <c r="AL94" s="32"/>
      <c r="AM94" s="21"/>
      <c r="AN94" s="34"/>
      <c r="AO94" s="34"/>
      <c r="AP94" s="34"/>
      <c r="AQ94" s="34"/>
      <c r="AR94" s="34"/>
      <c r="AS94" s="34" t="str">
        <f>IF(AB94&lt;&gt;"",AB94+IF(#REF!&lt;&gt;"",#REF!,0)+IF(AQ94&lt;&gt;"",AQ94,0)+IF(AR94&lt;&gt;"",AR94,0),"")</f>
        <v/>
      </c>
      <c r="AT94" s="34"/>
      <c r="AU94" s="34" t="str">
        <f t="shared" si="14"/>
        <v/>
      </c>
      <c r="AV94" s="21"/>
      <c r="AW94" s="21"/>
      <c r="AX94" s="21"/>
      <c r="AY94" s="21"/>
      <c r="AZ94" s="21"/>
    </row>
    <row r="95" spans="1:52" ht="21.75" customHeight="1" x14ac:dyDescent="0.35">
      <c r="A95" s="18">
        <f t="shared" si="10"/>
        <v>91</v>
      </c>
      <c r="B95" s="19"/>
      <c r="C95" s="27"/>
      <c r="D95" s="24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28"/>
      <c r="S95" s="28"/>
      <c r="T95" s="29" t="str">
        <f t="shared" si="11"/>
        <v/>
      </c>
      <c r="U95" s="19"/>
      <c r="V95" s="19"/>
      <c r="W95" s="19"/>
      <c r="X95" s="19"/>
      <c r="Y95" s="18" t="s">
        <v>408</v>
      </c>
      <c r="Z95" s="30"/>
      <c r="AA95" s="30" t="str">
        <f t="shared" si="12"/>
        <v/>
      </c>
      <c r="AB95" s="30" t="str">
        <f t="shared" si="13"/>
        <v/>
      </c>
      <c r="AC95" s="30"/>
      <c r="AD95" s="28"/>
      <c r="AE95" s="28"/>
      <c r="AF95" s="28"/>
      <c r="AG95" s="28"/>
      <c r="AH95" s="28"/>
      <c r="AI95" s="28"/>
      <c r="AJ95" s="28"/>
      <c r="AK95" s="30"/>
      <c r="AL95" s="28"/>
      <c r="AM95" s="19"/>
      <c r="AN95" s="30"/>
      <c r="AO95" s="30"/>
      <c r="AP95" s="30"/>
      <c r="AQ95" s="30"/>
      <c r="AR95" s="30"/>
      <c r="AS95" s="30" t="str">
        <f>IF(AB95&lt;&gt;"",AB95+IF(#REF!&lt;&gt;"",#REF!,0)+IF(AQ95&lt;&gt;"",AQ95,0)+IF(AR95&lt;&gt;"",AR95,0),"")</f>
        <v/>
      </c>
      <c r="AT95" s="30"/>
      <c r="AU95" s="30" t="str">
        <f t="shared" si="14"/>
        <v/>
      </c>
      <c r="AV95" s="19"/>
      <c r="AW95" s="19"/>
      <c r="AX95" s="19"/>
      <c r="AY95" s="19"/>
      <c r="AZ95" s="19"/>
    </row>
    <row r="96" spans="1:52" ht="21.75" customHeight="1" x14ac:dyDescent="0.35">
      <c r="A96" s="20">
        <f t="shared" si="10"/>
        <v>92</v>
      </c>
      <c r="B96" s="21"/>
      <c r="C96" s="31"/>
      <c r="D96" s="23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32"/>
      <c r="S96" s="32"/>
      <c r="T96" s="33" t="str">
        <f t="shared" si="11"/>
        <v/>
      </c>
      <c r="U96" s="21"/>
      <c r="V96" s="21"/>
      <c r="W96" s="21"/>
      <c r="X96" s="21"/>
      <c r="Y96" s="20" t="s">
        <v>408</v>
      </c>
      <c r="Z96" s="34"/>
      <c r="AA96" s="34" t="str">
        <f t="shared" si="12"/>
        <v/>
      </c>
      <c r="AB96" s="34" t="str">
        <f t="shared" si="13"/>
        <v/>
      </c>
      <c r="AC96" s="34"/>
      <c r="AD96" s="32"/>
      <c r="AE96" s="32"/>
      <c r="AF96" s="32"/>
      <c r="AG96" s="32"/>
      <c r="AH96" s="32"/>
      <c r="AI96" s="32"/>
      <c r="AJ96" s="32"/>
      <c r="AK96" s="34"/>
      <c r="AL96" s="32"/>
      <c r="AM96" s="21"/>
      <c r="AN96" s="34"/>
      <c r="AO96" s="34"/>
      <c r="AP96" s="34"/>
      <c r="AQ96" s="34"/>
      <c r="AR96" s="34"/>
      <c r="AS96" s="34" t="str">
        <f>IF(AB96&lt;&gt;"",AB96+IF(#REF!&lt;&gt;"",#REF!,0)+IF(AQ96&lt;&gt;"",AQ96,0)+IF(AR96&lt;&gt;"",AR96,0),"")</f>
        <v/>
      </c>
      <c r="AT96" s="34"/>
      <c r="AU96" s="34" t="str">
        <f t="shared" si="14"/>
        <v/>
      </c>
      <c r="AV96" s="21"/>
      <c r="AW96" s="21"/>
      <c r="AX96" s="21"/>
      <c r="AY96" s="21"/>
      <c r="AZ96" s="21"/>
    </row>
    <row r="97" spans="1:52" ht="21.75" customHeight="1" x14ac:dyDescent="0.35">
      <c r="A97" s="18">
        <f t="shared" si="10"/>
        <v>93</v>
      </c>
      <c r="B97" s="19"/>
      <c r="C97" s="27"/>
      <c r="D97" s="24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28"/>
      <c r="S97" s="28"/>
      <c r="T97" s="29" t="str">
        <f t="shared" si="11"/>
        <v/>
      </c>
      <c r="U97" s="19"/>
      <c r="V97" s="19"/>
      <c r="W97" s="19"/>
      <c r="X97" s="19"/>
      <c r="Y97" s="18" t="s">
        <v>408</v>
      </c>
      <c r="Z97" s="30"/>
      <c r="AA97" s="30" t="str">
        <f t="shared" si="12"/>
        <v/>
      </c>
      <c r="AB97" s="30" t="str">
        <f t="shared" si="13"/>
        <v/>
      </c>
      <c r="AC97" s="30"/>
      <c r="AD97" s="28"/>
      <c r="AE97" s="28"/>
      <c r="AF97" s="28"/>
      <c r="AG97" s="28"/>
      <c r="AH97" s="28"/>
      <c r="AI97" s="28"/>
      <c r="AJ97" s="28"/>
      <c r="AK97" s="30"/>
      <c r="AL97" s="28"/>
      <c r="AM97" s="19"/>
      <c r="AN97" s="30"/>
      <c r="AO97" s="30"/>
      <c r="AP97" s="30"/>
      <c r="AQ97" s="30"/>
      <c r="AR97" s="30"/>
      <c r="AS97" s="30" t="str">
        <f>IF(AB97&lt;&gt;"",AB97+IF(#REF!&lt;&gt;"",#REF!,0)+IF(AQ97&lt;&gt;"",AQ97,0)+IF(AR97&lt;&gt;"",AR97,0),"")</f>
        <v/>
      </c>
      <c r="AT97" s="30"/>
      <c r="AU97" s="30" t="str">
        <f t="shared" si="14"/>
        <v/>
      </c>
      <c r="AV97" s="19"/>
      <c r="AW97" s="19"/>
      <c r="AX97" s="19"/>
      <c r="AY97" s="19"/>
      <c r="AZ97" s="19"/>
    </row>
    <row r="98" spans="1:52" ht="21.75" customHeight="1" x14ac:dyDescent="0.35">
      <c r="A98" s="20">
        <f t="shared" si="10"/>
        <v>94</v>
      </c>
      <c r="B98" s="21"/>
      <c r="C98" s="31"/>
      <c r="D98" s="23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32"/>
      <c r="S98" s="32"/>
      <c r="T98" s="33" t="str">
        <f t="shared" si="11"/>
        <v/>
      </c>
      <c r="U98" s="21"/>
      <c r="V98" s="21"/>
      <c r="W98" s="21"/>
      <c r="X98" s="21"/>
      <c r="Y98" s="20" t="s">
        <v>408</v>
      </c>
      <c r="Z98" s="34"/>
      <c r="AA98" s="34" t="str">
        <f t="shared" si="12"/>
        <v/>
      </c>
      <c r="AB98" s="34" t="str">
        <f t="shared" si="13"/>
        <v/>
      </c>
      <c r="AC98" s="34"/>
      <c r="AD98" s="32"/>
      <c r="AE98" s="32"/>
      <c r="AF98" s="32"/>
      <c r="AG98" s="32"/>
      <c r="AH98" s="32"/>
      <c r="AI98" s="32"/>
      <c r="AJ98" s="32"/>
      <c r="AK98" s="34"/>
      <c r="AL98" s="32"/>
      <c r="AM98" s="21"/>
      <c r="AN98" s="34"/>
      <c r="AO98" s="34"/>
      <c r="AP98" s="34"/>
      <c r="AQ98" s="34"/>
      <c r="AR98" s="34"/>
      <c r="AS98" s="34" t="str">
        <f>IF(AB98&lt;&gt;"",AB98+IF(#REF!&lt;&gt;"",#REF!,0)+IF(AQ98&lt;&gt;"",AQ98,0)+IF(AR98&lt;&gt;"",AR98,0),"")</f>
        <v/>
      </c>
      <c r="AT98" s="34"/>
      <c r="AU98" s="34" t="str">
        <f t="shared" si="14"/>
        <v/>
      </c>
      <c r="AV98" s="21"/>
      <c r="AW98" s="21"/>
      <c r="AX98" s="21"/>
      <c r="AY98" s="21"/>
      <c r="AZ98" s="21"/>
    </row>
    <row r="99" spans="1:52" ht="21.75" customHeight="1" x14ac:dyDescent="0.35">
      <c r="A99" s="18">
        <f t="shared" si="10"/>
        <v>95</v>
      </c>
      <c r="B99" s="19"/>
      <c r="C99" s="27"/>
      <c r="D99" s="24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28"/>
      <c r="S99" s="28"/>
      <c r="T99" s="29" t="str">
        <f t="shared" si="11"/>
        <v/>
      </c>
      <c r="U99" s="19"/>
      <c r="V99" s="19"/>
      <c r="W99" s="19"/>
      <c r="X99" s="19"/>
      <c r="Y99" s="18" t="s">
        <v>408</v>
      </c>
      <c r="Z99" s="30"/>
      <c r="AA99" s="30" t="str">
        <f t="shared" si="12"/>
        <v/>
      </c>
      <c r="AB99" s="30" t="str">
        <f t="shared" si="13"/>
        <v/>
      </c>
      <c r="AC99" s="30"/>
      <c r="AD99" s="28"/>
      <c r="AE99" s="28"/>
      <c r="AF99" s="28"/>
      <c r="AG99" s="28"/>
      <c r="AH99" s="28"/>
      <c r="AI99" s="28"/>
      <c r="AJ99" s="28"/>
      <c r="AK99" s="30"/>
      <c r="AL99" s="28"/>
      <c r="AM99" s="19"/>
      <c r="AN99" s="30"/>
      <c r="AO99" s="30"/>
      <c r="AP99" s="30"/>
      <c r="AQ99" s="30"/>
      <c r="AR99" s="30"/>
      <c r="AS99" s="30" t="str">
        <f>IF(AB99&lt;&gt;"",AB99+IF(#REF!&lt;&gt;"",#REF!,0)+IF(AQ99&lt;&gt;"",AQ99,0)+IF(AR99&lt;&gt;"",AR99,0),"")</f>
        <v/>
      </c>
      <c r="AT99" s="30"/>
      <c r="AU99" s="30" t="str">
        <f t="shared" si="14"/>
        <v/>
      </c>
      <c r="AV99" s="19"/>
      <c r="AW99" s="19"/>
      <c r="AX99" s="19"/>
      <c r="AY99" s="19"/>
      <c r="AZ99" s="19"/>
    </row>
    <row r="100" spans="1:52" ht="21.75" customHeight="1" x14ac:dyDescent="0.35">
      <c r="A100" s="20">
        <f t="shared" si="10"/>
        <v>96</v>
      </c>
      <c r="B100" s="21"/>
      <c r="C100" s="31"/>
      <c r="D100" s="23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32"/>
      <c r="S100" s="32"/>
      <c r="T100" s="33" t="str">
        <f t="shared" si="11"/>
        <v/>
      </c>
      <c r="U100" s="21"/>
      <c r="V100" s="21"/>
      <c r="W100" s="21"/>
      <c r="X100" s="21"/>
      <c r="Y100" s="20" t="s">
        <v>408</v>
      </c>
      <c r="Z100" s="34"/>
      <c r="AA100" s="34" t="str">
        <f t="shared" si="12"/>
        <v/>
      </c>
      <c r="AB100" s="34" t="str">
        <f t="shared" si="13"/>
        <v/>
      </c>
      <c r="AC100" s="34"/>
      <c r="AD100" s="32"/>
      <c r="AE100" s="32"/>
      <c r="AF100" s="32"/>
      <c r="AG100" s="32"/>
      <c r="AH100" s="32"/>
      <c r="AI100" s="32"/>
      <c r="AJ100" s="32"/>
      <c r="AK100" s="34"/>
      <c r="AL100" s="32"/>
      <c r="AM100" s="21"/>
      <c r="AN100" s="34"/>
      <c r="AO100" s="34"/>
      <c r="AP100" s="34"/>
      <c r="AQ100" s="34"/>
      <c r="AR100" s="34"/>
      <c r="AS100" s="34" t="str">
        <f>IF(AB100&lt;&gt;"",AB100+IF(#REF!&lt;&gt;"",#REF!,0)+IF(AQ100&lt;&gt;"",AQ100,0)+IF(AR100&lt;&gt;"",AR100,0),"")</f>
        <v/>
      </c>
      <c r="AT100" s="34"/>
      <c r="AU100" s="34" t="str">
        <f t="shared" si="14"/>
        <v/>
      </c>
      <c r="AV100" s="21"/>
      <c r="AW100" s="21"/>
      <c r="AX100" s="21"/>
      <c r="AY100" s="21"/>
      <c r="AZ100" s="21"/>
    </row>
    <row r="101" spans="1:52" ht="21.75" customHeight="1" x14ac:dyDescent="0.35">
      <c r="A101" s="18">
        <f t="shared" ref="A101:A132" si="15">ROW()-4</f>
        <v>97</v>
      </c>
      <c r="B101" s="19"/>
      <c r="C101" s="27"/>
      <c r="D101" s="2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28"/>
      <c r="S101" s="28"/>
      <c r="T101" s="29" t="str">
        <f t="shared" ref="T101:T132" si="16">IF(AND(R101&lt;&gt;"",S101&lt;&gt;""),S101-R101,"")</f>
        <v/>
      </c>
      <c r="U101" s="19"/>
      <c r="V101" s="19"/>
      <c r="W101" s="19"/>
      <c r="X101" s="19"/>
      <c r="Y101" s="18" t="s">
        <v>408</v>
      </c>
      <c r="Z101" s="30"/>
      <c r="AA101" s="30" t="str">
        <f t="shared" ref="AA101:AA132" si="17">IF(Z101&lt;&gt;"",ROUND(Z101/30,2),"")</f>
        <v/>
      </c>
      <c r="AB101" s="30" t="str">
        <f t="shared" ref="AB101:AB132" si="18">IF(AND(Z101&lt;&gt;"",T101&lt;&gt;""),ROUND(Z101/30*T101,2),"")</f>
        <v/>
      </c>
      <c r="AC101" s="30"/>
      <c r="AD101" s="28"/>
      <c r="AE101" s="28"/>
      <c r="AF101" s="28"/>
      <c r="AG101" s="28"/>
      <c r="AH101" s="28"/>
      <c r="AI101" s="28"/>
      <c r="AJ101" s="28"/>
      <c r="AK101" s="30"/>
      <c r="AL101" s="28"/>
      <c r="AM101" s="19"/>
      <c r="AN101" s="30"/>
      <c r="AO101" s="30"/>
      <c r="AP101" s="30"/>
      <c r="AQ101" s="30"/>
      <c r="AR101" s="30"/>
      <c r="AS101" s="30" t="str">
        <f>IF(AB101&lt;&gt;"",AB101+IF(#REF!&lt;&gt;"",#REF!,0)+IF(AQ101&lt;&gt;"",AQ101,0)+IF(AR101&lt;&gt;"",AR101,0),"")</f>
        <v/>
      </c>
      <c r="AT101" s="30"/>
      <c r="AU101" s="30" t="str">
        <f t="shared" ref="AU101:AU132" si="19">IF(AS101&lt;&gt;"",AS101-IF(AT101&lt;&gt;"",AT101,0),"")</f>
        <v/>
      </c>
      <c r="AV101" s="19"/>
      <c r="AW101" s="19"/>
      <c r="AX101" s="19"/>
      <c r="AY101" s="19"/>
      <c r="AZ101" s="19"/>
    </row>
    <row r="102" spans="1:52" ht="21.75" customHeight="1" x14ac:dyDescent="0.35">
      <c r="A102" s="20">
        <f t="shared" si="15"/>
        <v>98</v>
      </c>
      <c r="B102" s="21"/>
      <c r="C102" s="31"/>
      <c r="D102" s="23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32"/>
      <c r="S102" s="32"/>
      <c r="T102" s="33" t="str">
        <f t="shared" si="16"/>
        <v/>
      </c>
      <c r="U102" s="21"/>
      <c r="V102" s="21"/>
      <c r="W102" s="21"/>
      <c r="X102" s="21"/>
      <c r="Y102" s="20" t="s">
        <v>408</v>
      </c>
      <c r="Z102" s="34"/>
      <c r="AA102" s="34" t="str">
        <f t="shared" si="17"/>
        <v/>
      </c>
      <c r="AB102" s="34" t="str">
        <f t="shared" si="18"/>
        <v/>
      </c>
      <c r="AC102" s="34"/>
      <c r="AD102" s="32"/>
      <c r="AE102" s="32"/>
      <c r="AF102" s="32"/>
      <c r="AG102" s="32"/>
      <c r="AH102" s="32"/>
      <c r="AI102" s="32"/>
      <c r="AJ102" s="32"/>
      <c r="AK102" s="34"/>
      <c r="AL102" s="32"/>
      <c r="AM102" s="21"/>
      <c r="AN102" s="34"/>
      <c r="AO102" s="34"/>
      <c r="AP102" s="34"/>
      <c r="AQ102" s="34"/>
      <c r="AR102" s="34"/>
      <c r="AS102" s="34" t="str">
        <f>IF(AB102&lt;&gt;"",AB102+IF(#REF!&lt;&gt;"",#REF!,0)+IF(AQ102&lt;&gt;"",AQ102,0)+IF(AR102&lt;&gt;"",AR102,0),"")</f>
        <v/>
      </c>
      <c r="AT102" s="34"/>
      <c r="AU102" s="34" t="str">
        <f t="shared" si="19"/>
        <v/>
      </c>
      <c r="AV102" s="21"/>
      <c r="AW102" s="21"/>
      <c r="AX102" s="21"/>
      <c r="AY102" s="21"/>
      <c r="AZ102" s="21"/>
    </row>
    <row r="103" spans="1:52" ht="21.75" customHeight="1" x14ac:dyDescent="0.35">
      <c r="A103" s="18">
        <f t="shared" si="15"/>
        <v>99</v>
      </c>
      <c r="B103" s="19"/>
      <c r="C103" s="27"/>
      <c r="D103" s="24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28"/>
      <c r="S103" s="28"/>
      <c r="T103" s="29" t="str">
        <f t="shared" si="16"/>
        <v/>
      </c>
      <c r="U103" s="19"/>
      <c r="V103" s="19"/>
      <c r="W103" s="19"/>
      <c r="X103" s="19"/>
      <c r="Y103" s="18" t="s">
        <v>408</v>
      </c>
      <c r="Z103" s="30"/>
      <c r="AA103" s="30" t="str">
        <f t="shared" si="17"/>
        <v/>
      </c>
      <c r="AB103" s="30" t="str">
        <f t="shared" si="18"/>
        <v/>
      </c>
      <c r="AC103" s="30"/>
      <c r="AD103" s="28"/>
      <c r="AE103" s="28"/>
      <c r="AF103" s="28"/>
      <c r="AG103" s="28"/>
      <c r="AH103" s="28"/>
      <c r="AI103" s="28"/>
      <c r="AJ103" s="28"/>
      <c r="AK103" s="30"/>
      <c r="AL103" s="28"/>
      <c r="AM103" s="19"/>
      <c r="AN103" s="30"/>
      <c r="AO103" s="30"/>
      <c r="AP103" s="30"/>
      <c r="AQ103" s="30"/>
      <c r="AR103" s="30"/>
      <c r="AS103" s="30" t="str">
        <f>IF(AB103&lt;&gt;"",AB103+IF(#REF!&lt;&gt;"",#REF!,0)+IF(AQ103&lt;&gt;"",AQ103,0)+IF(AR103&lt;&gt;"",AR103,0),"")</f>
        <v/>
      </c>
      <c r="AT103" s="30"/>
      <c r="AU103" s="30" t="str">
        <f t="shared" si="19"/>
        <v/>
      </c>
      <c r="AV103" s="19"/>
      <c r="AW103" s="19"/>
      <c r="AX103" s="19"/>
      <c r="AY103" s="19"/>
      <c r="AZ103" s="19"/>
    </row>
    <row r="104" spans="1:52" ht="21.75" customHeight="1" x14ac:dyDescent="0.35">
      <c r="A104" s="20">
        <f t="shared" si="15"/>
        <v>100</v>
      </c>
      <c r="B104" s="21"/>
      <c r="C104" s="31"/>
      <c r="D104" s="23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32"/>
      <c r="S104" s="32"/>
      <c r="T104" s="33" t="str">
        <f t="shared" si="16"/>
        <v/>
      </c>
      <c r="U104" s="21"/>
      <c r="V104" s="21"/>
      <c r="W104" s="21"/>
      <c r="X104" s="21"/>
      <c r="Y104" s="20" t="s">
        <v>408</v>
      </c>
      <c r="Z104" s="34"/>
      <c r="AA104" s="34" t="str">
        <f t="shared" si="17"/>
        <v/>
      </c>
      <c r="AB104" s="34" t="str">
        <f t="shared" si="18"/>
        <v/>
      </c>
      <c r="AC104" s="34"/>
      <c r="AD104" s="32"/>
      <c r="AE104" s="32"/>
      <c r="AF104" s="32"/>
      <c r="AG104" s="32"/>
      <c r="AH104" s="32"/>
      <c r="AI104" s="32"/>
      <c r="AJ104" s="32"/>
      <c r="AK104" s="34"/>
      <c r="AL104" s="32"/>
      <c r="AM104" s="21"/>
      <c r="AN104" s="34"/>
      <c r="AO104" s="34"/>
      <c r="AP104" s="34"/>
      <c r="AQ104" s="34"/>
      <c r="AR104" s="34"/>
      <c r="AS104" s="34" t="str">
        <f>IF(AB104&lt;&gt;"",AB104+IF(#REF!&lt;&gt;"",#REF!,0)+IF(AQ104&lt;&gt;"",AQ104,0)+IF(AR104&lt;&gt;"",AR104,0),"")</f>
        <v/>
      </c>
      <c r="AT104" s="34"/>
      <c r="AU104" s="34" t="str">
        <f t="shared" si="19"/>
        <v/>
      </c>
      <c r="AV104" s="21"/>
      <c r="AW104" s="21"/>
      <c r="AX104" s="21"/>
      <c r="AY104" s="21"/>
      <c r="AZ104" s="21"/>
    </row>
    <row r="105" spans="1:52" ht="21.75" customHeight="1" x14ac:dyDescent="0.35">
      <c r="A105" s="18">
        <f t="shared" si="15"/>
        <v>101</v>
      </c>
      <c r="B105" s="19"/>
      <c r="C105" s="27"/>
      <c r="D105" s="24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28"/>
      <c r="S105" s="28"/>
      <c r="T105" s="29" t="str">
        <f t="shared" si="16"/>
        <v/>
      </c>
      <c r="U105" s="19"/>
      <c r="V105" s="19"/>
      <c r="W105" s="19"/>
      <c r="X105" s="19"/>
      <c r="Y105" s="18" t="s">
        <v>408</v>
      </c>
      <c r="Z105" s="30"/>
      <c r="AA105" s="30" t="str">
        <f t="shared" si="17"/>
        <v/>
      </c>
      <c r="AB105" s="30" t="str">
        <f t="shared" si="18"/>
        <v/>
      </c>
      <c r="AC105" s="30"/>
      <c r="AD105" s="28"/>
      <c r="AE105" s="28"/>
      <c r="AF105" s="28"/>
      <c r="AG105" s="28"/>
      <c r="AH105" s="28"/>
      <c r="AI105" s="28"/>
      <c r="AJ105" s="28"/>
      <c r="AK105" s="30"/>
      <c r="AL105" s="28"/>
      <c r="AM105" s="19"/>
      <c r="AN105" s="30"/>
      <c r="AO105" s="30"/>
      <c r="AP105" s="30"/>
      <c r="AQ105" s="30"/>
      <c r="AR105" s="30"/>
      <c r="AS105" s="30" t="str">
        <f>IF(AB105&lt;&gt;"",AB105+IF(#REF!&lt;&gt;"",#REF!,0)+IF(AQ105&lt;&gt;"",AQ105,0)+IF(AR105&lt;&gt;"",AR105,0),"")</f>
        <v/>
      </c>
      <c r="AT105" s="30"/>
      <c r="AU105" s="30" t="str">
        <f t="shared" si="19"/>
        <v/>
      </c>
      <c r="AV105" s="19"/>
      <c r="AW105" s="19"/>
      <c r="AX105" s="19"/>
      <c r="AY105" s="19"/>
      <c r="AZ105" s="19"/>
    </row>
    <row r="106" spans="1:52" ht="21.75" customHeight="1" x14ac:dyDescent="0.35">
      <c r="A106" s="20">
        <f t="shared" si="15"/>
        <v>102</v>
      </c>
      <c r="B106" s="21"/>
      <c r="C106" s="31"/>
      <c r="D106" s="23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32"/>
      <c r="S106" s="32"/>
      <c r="T106" s="33" t="str">
        <f t="shared" si="16"/>
        <v/>
      </c>
      <c r="U106" s="21"/>
      <c r="V106" s="21"/>
      <c r="W106" s="21"/>
      <c r="X106" s="21"/>
      <c r="Y106" s="20" t="s">
        <v>408</v>
      </c>
      <c r="Z106" s="34"/>
      <c r="AA106" s="34" t="str">
        <f t="shared" si="17"/>
        <v/>
      </c>
      <c r="AB106" s="34" t="str">
        <f t="shared" si="18"/>
        <v/>
      </c>
      <c r="AC106" s="34"/>
      <c r="AD106" s="32"/>
      <c r="AE106" s="32"/>
      <c r="AF106" s="32"/>
      <c r="AG106" s="32"/>
      <c r="AH106" s="32"/>
      <c r="AI106" s="32"/>
      <c r="AJ106" s="32"/>
      <c r="AK106" s="34"/>
      <c r="AL106" s="32"/>
      <c r="AM106" s="21"/>
      <c r="AN106" s="34"/>
      <c r="AO106" s="34"/>
      <c r="AP106" s="34"/>
      <c r="AQ106" s="34"/>
      <c r="AR106" s="34"/>
      <c r="AS106" s="34" t="str">
        <f>IF(AB106&lt;&gt;"",AB106+IF(#REF!&lt;&gt;"",#REF!,0)+IF(AQ106&lt;&gt;"",AQ106,0)+IF(AR106&lt;&gt;"",AR106,0),"")</f>
        <v/>
      </c>
      <c r="AT106" s="34"/>
      <c r="AU106" s="34" t="str">
        <f t="shared" si="19"/>
        <v/>
      </c>
      <c r="AV106" s="21"/>
      <c r="AW106" s="21"/>
      <c r="AX106" s="21"/>
      <c r="AY106" s="21"/>
      <c r="AZ106" s="21"/>
    </row>
    <row r="107" spans="1:52" ht="21.75" customHeight="1" x14ac:dyDescent="0.35">
      <c r="A107" s="18">
        <f t="shared" si="15"/>
        <v>103</v>
      </c>
      <c r="B107" s="19"/>
      <c r="C107" s="27"/>
      <c r="D107" s="24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28"/>
      <c r="S107" s="28"/>
      <c r="T107" s="29" t="str">
        <f t="shared" si="16"/>
        <v/>
      </c>
      <c r="U107" s="19"/>
      <c r="V107" s="19"/>
      <c r="W107" s="19"/>
      <c r="X107" s="19"/>
      <c r="Y107" s="18" t="s">
        <v>408</v>
      </c>
      <c r="Z107" s="30"/>
      <c r="AA107" s="30" t="str">
        <f t="shared" si="17"/>
        <v/>
      </c>
      <c r="AB107" s="30" t="str">
        <f t="shared" si="18"/>
        <v/>
      </c>
      <c r="AC107" s="30"/>
      <c r="AD107" s="28"/>
      <c r="AE107" s="28"/>
      <c r="AF107" s="28"/>
      <c r="AG107" s="28"/>
      <c r="AH107" s="28"/>
      <c r="AI107" s="28"/>
      <c r="AJ107" s="28"/>
      <c r="AK107" s="30"/>
      <c r="AL107" s="28"/>
      <c r="AM107" s="19"/>
      <c r="AN107" s="30"/>
      <c r="AO107" s="30"/>
      <c r="AP107" s="30"/>
      <c r="AQ107" s="30"/>
      <c r="AR107" s="30"/>
      <c r="AS107" s="30" t="str">
        <f>IF(AB107&lt;&gt;"",AB107+IF(#REF!&lt;&gt;"",#REF!,0)+IF(AQ107&lt;&gt;"",AQ107,0)+IF(AR107&lt;&gt;"",AR107,0),"")</f>
        <v/>
      </c>
      <c r="AT107" s="30"/>
      <c r="AU107" s="30" t="str">
        <f t="shared" si="19"/>
        <v/>
      </c>
      <c r="AV107" s="19"/>
      <c r="AW107" s="19"/>
      <c r="AX107" s="19"/>
      <c r="AY107" s="19"/>
      <c r="AZ107" s="19"/>
    </row>
    <row r="108" spans="1:52" ht="21.75" customHeight="1" x14ac:dyDescent="0.35">
      <c r="A108" s="20">
        <f t="shared" si="15"/>
        <v>104</v>
      </c>
      <c r="B108" s="21"/>
      <c r="C108" s="31"/>
      <c r="D108" s="23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32"/>
      <c r="S108" s="32"/>
      <c r="T108" s="33" t="str">
        <f t="shared" si="16"/>
        <v/>
      </c>
      <c r="U108" s="21"/>
      <c r="V108" s="21"/>
      <c r="W108" s="21"/>
      <c r="X108" s="21"/>
      <c r="Y108" s="20" t="s">
        <v>408</v>
      </c>
      <c r="Z108" s="34"/>
      <c r="AA108" s="34" t="str">
        <f t="shared" si="17"/>
        <v/>
      </c>
      <c r="AB108" s="34" t="str">
        <f t="shared" si="18"/>
        <v/>
      </c>
      <c r="AC108" s="34"/>
      <c r="AD108" s="32"/>
      <c r="AE108" s="32"/>
      <c r="AF108" s="32"/>
      <c r="AG108" s="32"/>
      <c r="AH108" s="32"/>
      <c r="AI108" s="32"/>
      <c r="AJ108" s="32"/>
      <c r="AK108" s="34"/>
      <c r="AL108" s="32"/>
      <c r="AM108" s="21"/>
      <c r="AN108" s="34"/>
      <c r="AO108" s="34"/>
      <c r="AP108" s="34"/>
      <c r="AQ108" s="34"/>
      <c r="AR108" s="34"/>
      <c r="AS108" s="34" t="str">
        <f>IF(AB108&lt;&gt;"",AB108+IF(#REF!&lt;&gt;"",#REF!,0)+IF(AQ108&lt;&gt;"",AQ108,0)+IF(AR108&lt;&gt;"",AR108,0),"")</f>
        <v/>
      </c>
      <c r="AT108" s="34"/>
      <c r="AU108" s="34" t="str">
        <f t="shared" si="19"/>
        <v/>
      </c>
      <c r="AV108" s="21"/>
      <c r="AW108" s="21"/>
      <c r="AX108" s="21"/>
      <c r="AY108" s="21"/>
      <c r="AZ108" s="21"/>
    </row>
    <row r="109" spans="1:52" ht="21.75" customHeight="1" x14ac:dyDescent="0.35">
      <c r="A109" s="18">
        <f t="shared" si="15"/>
        <v>105</v>
      </c>
      <c r="B109" s="19"/>
      <c r="C109" s="27"/>
      <c r="D109" s="24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28"/>
      <c r="S109" s="28"/>
      <c r="T109" s="29" t="str">
        <f t="shared" si="16"/>
        <v/>
      </c>
      <c r="U109" s="19"/>
      <c r="V109" s="19"/>
      <c r="W109" s="19"/>
      <c r="X109" s="19"/>
      <c r="Y109" s="18" t="s">
        <v>408</v>
      </c>
      <c r="Z109" s="30"/>
      <c r="AA109" s="30" t="str">
        <f t="shared" si="17"/>
        <v/>
      </c>
      <c r="AB109" s="30" t="str">
        <f t="shared" si="18"/>
        <v/>
      </c>
      <c r="AC109" s="30"/>
      <c r="AD109" s="28"/>
      <c r="AE109" s="28"/>
      <c r="AF109" s="28"/>
      <c r="AG109" s="28"/>
      <c r="AH109" s="28"/>
      <c r="AI109" s="28"/>
      <c r="AJ109" s="28"/>
      <c r="AK109" s="30"/>
      <c r="AL109" s="28"/>
      <c r="AM109" s="19"/>
      <c r="AN109" s="30"/>
      <c r="AO109" s="30"/>
      <c r="AP109" s="30"/>
      <c r="AQ109" s="30"/>
      <c r="AR109" s="30"/>
      <c r="AS109" s="30" t="str">
        <f>IF(AB109&lt;&gt;"",AB109+IF(#REF!&lt;&gt;"",#REF!,0)+IF(AQ109&lt;&gt;"",AQ109,0)+IF(AR109&lt;&gt;"",AR109,0),"")</f>
        <v/>
      </c>
      <c r="AT109" s="30"/>
      <c r="AU109" s="30" t="str">
        <f t="shared" si="19"/>
        <v/>
      </c>
      <c r="AV109" s="19"/>
      <c r="AW109" s="19"/>
      <c r="AX109" s="19"/>
      <c r="AY109" s="19"/>
      <c r="AZ109" s="19"/>
    </row>
    <row r="110" spans="1:52" ht="21.75" customHeight="1" x14ac:dyDescent="0.35">
      <c r="A110" s="20">
        <f t="shared" si="15"/>
        <v>106</v>
      </c>
      <c r="B110" s="21"/>
      <c r="C110" s="31"/>
      <c r="D110" s="23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32"/>
      <c r="S110" s="32"/>
      <c r="T110" s="33" t="str">
        <f t="shared" si="16"/>
        <v/>
      </c>
      <c r="U110" s="21"/>
      <c r="V110" s="21"/>
      <c r="W110" s="21"/>
      <c r="X110" s="21"/>
      <c r="Y110" s="20" t="s">
        <v>408</v>
      </c>
      <c r="Z110" s="34"/>
      <c r="AA110" s="34" t="str">
        <f t="shared" si="17"/>
        <v/>
      </c>
      <c r="AB110" s="34" t="str">
        <f t="shared" si="18"/>
        <v/>
      </c>
      <c r="AC110" s="34"/>
      <c r="AD110" s="32"/>
      <c r="AE110" s="32"/>
      <c r="AF110" s="32"/>
      <c r="AG110" s="32"/>
      <c r="AH110" s="32"/>
      <c r="AI110" s="32"/>
      <c r="AJ110" s="32"/>
      <c r="AK110" s="34"/>
      <c r="AL110" s="32"/>
      <c r="AM110" s="21"/>
      <c r="AN110" s="34"/>
      <c r="AO110" s="34"/>
      <c r="AP110" s="34"/>
      <c r="AQ110" s="34"/>
      <c r="AR110" s="34"/>
      <c r="AS110" s="34" t="str">
        <f>IF(AB110&lt;&gt;"",AB110+IF(#REF!&lt;&gt;"",#REF!,0)+IF(AQ110&lt;&gt;"",AQ110,0)+IF(AR110&lt;&gt;"",AR110,0),"")</f>
        <v/>
      </c>
      <c r="AT110" s="34"/>
      <c r="AU110" s="34" t="str">
        <f t="shared" si="19"/>
        <v/>
      </c>
      <c r="AV110" s="21"/>
      <c r="AW110" s="21"/>
      <c r="AX110" s="21"/>
      <c r="AY110" s="21"/>
      <c r="AZ110" s="21"/>
    </row>
    <row r="111" spans="1:52" ht="21.75" customHeight="1" x14ac:dyDescent="0.35">
      <c r="A111" s="18">
        <f t="shared" si="15"/>
        <v>107</v>
      </c>
      <c r="B111" s="19"/>
      <c r="C111" s="27"/>
      <c r="D111" s="24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28"/>
      <c r="S111" s="28"/>
      <c r="T111" s="29" t="str">
        <f t="shared" si="16"/>
        <v/>
      </c>
      <c r="U111" s="19"/>
      <c r="V111" s="19"/>
      <c r="W111" s="19"/>
      <c r="X111" s="19"/>
      <c r="Y111" s="18" t="s">
        <v>408</v>
      </c>
      <c r="Z111" s="30"/>
      <c r="AA111" s="30" t="str">
        <f t="shared" si="17"/>
        <v/>
      </c>
      <c r="AB111" s="30" t="str">
        <f t="shared" si="18"/>
        <v/>
      </c>
      <c r="AC111" s="30"/>
      <c r="AD111" s="28"/>
      <c r="AE111" s="28"/>
      <c r="AF111" s="28"/>
      <c r="AG111" s="28"/>
      <c r="AH111" s="28"/>
      <c r="AI111" s="28"/>
      <c r="AJ111" s="28"/>
      <c r="AK111" s="30"/>
      <c r="AL111" s="28"/>
      <c r="AM111" s="19"/>
      <c r="AN111" s="30"/>
      <c r="AO111" s="30"/>
      <c r="AP111" s="30"/>
      <c r="AQ111" s="30"/>
      <c r="AR111" s="30"/>
      <c r="AS111" s="30" t="str">
        <f>IF(AB111&lt;&gt;"",AB111+IF(#REF!&lt;&gt;"",#REF!,0)+IF(AQ111&lt;&gt;"",AQ111,0)+IF(AR111&lt;&gt;"",AR111,0),"")</f>
        <v/>
      </c>
      <c r="AT111" s="30"/>
      <c r="AU111" s="30" t="str">
        <f t="shared" si="19"/>
        <v/>
      </c>
      <c r="AV111" s="19"/>
      <c r="AW111" s="19"/>
      <c r="AX111" s="19"/>
      <c r="AY111" s="19"/>
      <c r="AZ111" s="19"/>
    </row>
    <row r="112" spans="1:52" ht="21.75" customHeight="1" x14ac:dyDescent="0.35">
      <c r="A112" s="20">
        <f t="shared" si="15"/>
        <v>108</v>
      </c>
      <c r="B112" s="21"/>
      <c r="C112" s="31"/>
      <c r="D112" s="23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32"/>
      <c r="S112" s="32"/>
      <c r="T112" s="33" t="str">
        <f t="shared" si="16"/>
        <v/>
      </c>
      <c r="U112" s="21"/>
      <c r="V112" s="21"/>
      <c r="W112" s="21"/>
      <c r="X112" s="21"/>
      <c r="Y112" s="20" t="s">
        <v>408</v>
      </c>
      <c r="Z112" s="34"/>
      <c r="AA112" s="34" t="str">
        <f t="shared" si="17"/>
        <v/>
      </c>
      <c r="AB112" s="34" t="str">
        <f t="shared" si="18"/>
        <v/>
      </c>
      <c r="AC112" s="34"/>
      <c r="AD112" s="32"/>
      <c r="AE112" s="32"/>
      <c r="AF112" s="32"/>
      <c r="AG112" s="32"/>
      <c r="AH112" s="32"/>
      <c r="AI112" s="32"/>
      <c r="AJ112" s="32"/>
      <c r="AK112" s="34"/>
      <c r="AL112" s="32"/>
      <c r="AM112" s="21"/>
      <c r="AN112" s="34"/>
      <c r="AO112" s="34"/>
      <c r="AP112" s="34"/>
      <c r="AQ112" s="34"/>
      <c r="AR112" s="34"/>
      <c r="AS112" s="34" t="str">
        <f>IF(AB112&lt;&gt;"",AB112+IF(#REF!&lt;&gt;"",#REF!,0)+IF(AQ112&lt;&gt;"",AQ112,0)+IF(AR112&lt;&gt;"",AR112,0),"")</f>
        <v/>
      </c>
      <c r="AT112" s="34"/>
      <c r="AU112" s="34" t="str">
        <f t="shared" si="19"/>
        <v/>
      </c>
      <c r="AV112" s="21"/>
      <c r="AW112" s="21"/>
      <c r="AX112" s="21"/>
      <c r="AY112" s="21"/>
      <c r="AZ112" s="21"/>
    </row>
    <row r="113" spans="1:52" ht="21.75" customHeight="1" x14ac:dyDescent="0.35">
      <c r="A113" s="18">
        <f t="shared" si="15"/>
        <v>109</v>
      </c>
      <c r="B113" s="19"/>
      <c r="C113" s="27"/>
      <c r="D113" s="2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28"/>
      <c r="S113" s="28"/>
      <c r="T113" s="29" t="str">
        <f t="shared" si="16"/>
        <v/>
      </c>
      <c r="U113" s="19"/>
      <c r="V113" s="19"/>
      <c r="W113" s="19"/>
      <c r="X113" s="19"/>
      <c r="Y113" s="18" t="s">
        <v>408</v>
      </c>
      <c r="Z113" s="30"/>
      <c r="AA113" s="30" t="str">
        <f t="shared" si="17"/>
        <v/>
      </c>
      <c r="AB113" s="30" t="str">
        <f t="shared" si="18"/>
        <v/>
      </c>
      <c r="AC113" s="30"/>
      <c r="AD113" s="28"/>
      <c r="AE113" s="28"/>
      <c r="AF113" s="28"/>
      <c r="AG113" s="28"/>
      <c r="AH113" s="28"/>
      <c r="AI113" s="28"/>
      <c r="AJ113" s="28"/>
      <c r="AK113" s="30"/>
      <c r="AL113" s="28"/>
      <c r="AM113" s="19"/>
      <c r="AN113" s="30"/>
      <c r="AO113" s="30"/>
      <c r="AP113" s="30"/>
      <c r="AQ113" s="30"/>
      <c r="AR113" s="30"/>
      <c r="AS113" s="30" t="str">
        <f>IF(AB113&lt;&gt;"",AB113+IF(#REF!&lt;&gt;"",#REF!,0)+IF(AQ113&lt;&gt;"",AQ113,0)+IF(AR113&lt;&gt;"",AR113,0),"")</f>
        <v/>
      </c>
      <c r="AT113" s="30"/>
      <c r="AU113" s="30" t="str">
        <f t="shared" si="19"/>
        <v/>
      </c>
      <c r="AV113" s="19"/>
      <c r="AW113" s="19"/>
      <c r="AX113" s="19"/>
      <c r="AY113" s="19"/>
      <c r="AZ113" s="19"/>
    </row>
    <row r="114" spans="1:52" ht="21.75" customHeight="1" x14ac:dyDescent="0.35">
      <c r="A114" s="20">
        <f t="shared" si="15"/>
        <v>110</v>
      </c>
      <c r="B114" s="21"/>
      <c r="C114" s="31"/>
      <c r="D114" s="23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32"/>
      <c r="S114" s="32"/>
      <c r="T114" s="33" t="str">
        <f t="shared" si="16"/>
        <v/>
      </c>
      <c r="U114" s="21"/>
      <c r="V114" s="21"/>
      <c r="W114" s="21"/>
      <c r="X114" s="21"/>
      <c r="Y114" s="20" t="s">
        <v>408</v>
      </c>
      <c r="Z114" s="34"/>
      <c r="AA114" s="34" t="str">
        <f t="shared" si="17"/>
        <v/>
      </c>
      <c r="AB114" s="34" t="str">
        <f t="shared" si="18"/>
        <v/>
      </c>
      <c r="AC114" s="34"/>
      <c r="AD114" s="32"/>
      <c r="AE114" s="32"/>
      <c r="AF114" s="32"/>
      <c r="AG114" s="32"/>
      <c r="AH114" s="32"/>
      <c r="AI114" s="32"/>
      <c r="AJ114" s="32"/>
      <c r="AK114" s="34"/>
      <c r="AL114" s="32"/>
      <c r="AM114" s="21"/>
      <c r="AN114" s="34"/>
      <c r="AO114" s="34"/>
      <c r="AP114" s="34"/>
      <c r="AQ114" s="34"/>
      <c r="AR114" s="34"/>
      <c r="AS114" s="34" t="str">
        <f>IF(AB114&lt;&gt;"",AB114+IF(#REF!&lt;&gt;"",#REF!,0)+IF(AQ114&lt;&gt;"",AQ114,0)+IF(AR114&lt;&gt;"",AR114,0),"")</f>
        <v/>
      </c>
      <c r="AT114" s="34"/>
      <c r="AU114" s="34" t="str">
        <f t="shared" si="19"/>
        <v/>
      </c>
      <c r="AV114" s="21"/>
      <c r="AW114" s="21"/>
      <c r="AX114" s="21"/>
      <c r="AY114" s="21"/>
      <c r="AZ114" s="21"/>
    </row>
    <row r="115" spans="1:52" ht="21.75" customHeight="1" x14ac:dyDescent="0.35">
      <c r="A115" s="18">
        <f t="shared" si="15"/>
        <v>111</v>
      </c>
      <c r="B115" s="19"/>
      <c r="C115" s="27"/>
      <c r="D115" s="24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28"/>
      <c r="S115" s="28"/>
      <c r="T115" s="29" t="str">
        <f t="shared" si="16"/>
        <v/>
      </c>
      <c r="U115" s="19"/>
      <c r="V115" s="19"/>
      <c r="W115" s="19"/>
      <c r="X115" s="19"/>
      <c r="Y115" s="18" t="s">
        <v>408</v>
      </c>
      <c r="Z115" s="30"/>
      <c r="AA115" s="30" t="str">
        <f t="shared" si="17"/>
        <v/>
      </c>
      <c r="AB115" s="30" t="str">
        <f t="shared" si="18"/>
        <v/>
      </c>
      <c r="AC115" s="30"/>
      <c r="AD115" s="28"/>
      <c r="AE115" s="28"/>
      <c r="AF115" s="28"/>
      <c r="AG115" s="28"/>
      <c r="AH115" s="28"/>
      <c r="AI115" s="28"/>
      <c r="AJ115" s="28"/>
      <c r="AK115" s="30"/>
      <c r="AL115" s="28"/>
      <c r="AM115" s="19"/>
      <c r="AN115" s="30"/>
      <c r="AO115" s="30"/>
      <c r="AP115" s="30"/>
      <c r="AQ115" s="30"/>
      <c r="AR115" s="30"/>
      <c r="AS115" s="30" t="str">
        <f>IF(AB115&lt;&gt;"",AB115+IF(#REF!&lt;&gt;"",#REF!,0)+IF(AQ115&lt;&gt;"",AQ115,0)+IF(AR115&lt;&gt;"",AR115,0),"")</f>
        <v/>
      </c>
      <c r="AT115" s="30"/>
      <c r="AU115" s="30" t="str">
        <f t="shared" si="19"/>
        <v/>
      </c>
      <c r="AV115" s="19"/>
      <c r="AW115" s="19"/>
      <c r="AX115" s="19"/>
      <c r="AY115" s="19"/>
      <c r="AZ115" s="19"/>
    </row>
    <row r="116" spans="1:52" ht="21.75" customHeight="1" x14ac:dyDescent="0.35">
      <c r="A116" s="20">
        <f t="shared" si="15"/>
        <v>112</v>
      </c>
      <c r="B116" s="21"/>
      <c r="C116" s="31"/>
      <c r="D116" s="23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32"/>
      <c r="S116" s="32"/>
      <c r="T116" s="33" t="str">
        <f t="shared" si="16"/>
        <v/>
      </c>
      <c r="U116" s="21"/>
      <c r="V116" s="21"/>
      <c r="W116" s="21"/>
      <c r="X116" s="21"/>
      <c r="Y116" s="20" t="s">
        <v>408</v>
      </c>
      <c r="Z116" s="34"/>
      <c r="AA116" s="34" t="str">
        <f t="shared" si="17"/>
        <v/>
      </c>
      <c r="AB116" s="34" t="str">
        <f t="shared" si="18"/>
        <v/>
      </c>
      <c r="AC116" s="34"/>
      <c r="AD116" s="32"/>
      <c r="AE116" s="32"/>
      <c r="AF116" s="32"/>
      <c r="AG116" s="32"/>
      <c r="AH116" s="32"/>
      <c r="AI116" s="32"/>
      <c r="AJ116" s="32"/>
      <c r="AK116" s="34"/>
      <c r="AL116" s="32"/>
      <c r="AM116" s="21"/>
      <c r="AN116" s="34"/>
      <c r="AO116" s="34"/>
      <c r="AP116" s="34"/>
      <c r="AQ116" s="34"/>
      <c r="AR116" s="34"/>
      <c r="AS116" s="34" t="str">
        <f>IF(AB116&lt;&gt;"",AB116+IF(#REF!&lt;&gt;"",#REF!,0)+IF(AQ116&lt;&gt;"",AQ116,0)+IF(AR116&lt;&gt;"",AR116,0),"")</f>
        <v/>
      </c>
      <c r="AT116" s="34"/>
      <c r="AU116" s="34" t="str">
        <f t="shared" si="19"/>
        <v/>
      </c>
      <c r="AV116" s="21"/>
      <c r="AW116" s="21"/>
      <c r="AX116" s="21"/>
      <c r="AY116" s="21"/>
      <c r="AZ116" s="21"/>
    </row>
    <row r="117" spans="1:52" ht="21.75" customHeight="1" x14ac:dyDescent="0.35">
      <c r="A117" s="18">
        <f t="shared" si="15"/>
        <v>113</v>
      </c>
      <c r="B117" s="19"/>
      <c r="C117" s="27"/>
      <c r="D117" s="24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28"/>
      <c r="S117" s="28"/>
      <c r="T117" s="29" t="str">
        <f t="shared" si="16"/>
        <v/>
      </c>
      <c r="U117" s="19"/>
      <c r="V117" s="19"/>
      <c r="W117" s="19"/>
      <c r="X117" s="19"/>
      <c r="Y117" s="18" t="s">
        <v>408</v>
      </c>
      <c r="Z117" s="30"/>
      <c r="AA117" s="30" t="str">
        <f t="shared" si="17"/>
        <v/>
      </c>
      <c r="AB117" s="30" t="str">
        <f t="shared" si="18"/>
        <v/>
      </c>
      <c r="AC117" s="30"/>
      <c r="AD117" s="28"/>
      <c r="AE117" s="28"/>
      <c r="AF117" s="28"/>
      <c r="AG117" s="28"/>
      <c r="AH117" s="28"/>
      <c r="AI117" s="28"/>
      <c r="AJ117" s="28"/>
      <c r="AK117" s="30"/>
      <c r="AL117" s="28"/>
      <c r="AM117" s="19"/>
      <c r="AN117" s="30"/>
      <c r="AO117" s="30"/>
      <c r="AP117" s="30"/>
      <c r="AQ117" s="30"/>
      <c r="AR117" s="30"/>
      <c r="AS117" s="30" t="str">
        <f>IF(AB117&lt;&gt;"",AB117+IF(#REF!&lt;&gt;"",#REF!,0)+IF(AQ117&lt;&gt;"",AQ117,0)+IF(AR117&lt;&gt;"",AR117,0),"")</f>
        <v/>
      </c>
      <c r="AT117" s="30"/>
      <c r="AU117" s="30" t="str">
        <f t="shared" si="19"/>
        <v/>
      </c>
      <c r="AV117" s="19"/>
      <c r="AW117" s="19"/>
      <c r="AX117" s="19"/>
      <c r="AY117" s="19"/>
      <c r="AZ117" s="19"/>
    </row>
    <row r="118" spans="1:52" ht="21.75" customHeight="1" x14ac:dyDescent="0.35">
      <c r="A118" s="20">
        <f t="shared" si="15"/>
        <v>114</v>
      </c>
      <c r="B118" s="21"/>
      <c r="C118" s="31"/>
      <c r="D118" s="23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32"/>
      <c r="S118" s="32"/>
      <c r="T118" s="33" t="str">
        <f t="shared" si="16"/>
        <v/>
      </c>
      <c r="U118" s="21"/>
      <c r="V118" s="21"/>
      <c r="W118" s="21"/>
      <c r="X118" s="21"/>
      <c r="Y118" s="20" t="s">
        <v>408</v>
      </c>
      <c r="Z118" s="34"/>
      <c r="AA118" s="34" t="str">
        <f t="shared" si="17"/>
        <v/>
      </c>
      <c r="AB118" s="34" t="str">
        <f t="shared" si="18"/>
        <v/>
      </c>
      <c r="AC118" s="34"/>
      <c r="AD118" s="32"/>
      <c r="AE118" s="32"/>
      <c r="AF118" s="32"/>
      <c r="AG118" s="32"/>
      <c r="AH118" s="32"/>
      <c r="AI118" s="32"/>
      <c r="AJ118" s="32"/>
      <c r="AK118" s="34"/>
      <c r="AL118" s="32"/>
      <c r="AM118" s="21"/>
      <c r="AN118" s="34"/>
      <c r="AO118" s="34"/>
      <c r="AP118" s="34"/>
      <c r="AQ118" s="34"/>
      <c r="AR118" s="34"/>
      <c r="AS118" s="34" t="str">
        <f>IF(AB118&lt;&gt;"",AB118+IF(#REF!&lt;&gt;"",#REF!,0)+IF(AQ118&lt;&gt;"",AQ118,0)+IF(AR118&lt;&gt;"",AR118,0),"")</f>
        <v/>
      </c>
      <c r="AT118" s="34"/>
      <c r="AU118" s="34" t="str">
        <f t="shared" si="19"/>
        <v/>
      </c>
      <c r="AV118" s="21"/>
      <c r="AW118" s="21"/>
      <c r="AX118" s="21"/>
      <c r="AY118" s="21"/>
      <c r="AZ118" s="21"/>
    </row>
    <row r="119" spans="1:52" ht="21.75" customHeight="1" x14ac:dyDescent="0.35">
      <c r="A119" s="18">
        <f t="shared" si="15"/>
        <v>115</v>
      </c>
      <c r="B119" s="19"/>
      <c r="C119" s="27"/>
      <c r="D119" s="24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28"/>
      <c r="S119" s="28"/>
      <c r="T119" s="29" t="str">
        <f t="shared" si="16"/>
        <v/>
      </c>
      <c r="U119" s="19"/>
      <c r="V119" s="19"/>
      <c r="W119" s="19"/>
      <c r="X119" s="19"/>
      <c r="Y119" s="18" t="s">
        <v>408</v>
      </c>
      <c r="Z119" s="30"/>
      <c r="AA119" s="30" t="str">
        <f t="shared" si="17"/>
        <v/>
      </c>
      <c r="AB119" s="30" t="str">
        <f t="shared" si="18"/>
        <v/>
      </c>
      <c r="AC119" s="30"/>
      <c r="AD119" s="28"/>
      <c r="AE119" s="28"/>
      <c r="AF119" s="28"/>
      <c r="AG119" s="28"/>
      <c r="AH119" s="28"/>
      <c r="AI119" s="28"/>
      <c r="AJ119" s="28"/>
      <c r="AK119" s="30"/>
      <c r="AL119" s="28"/>
      <c r="AM119" s="19"/>
      <c r="AN119" s="30"/>
      <c r="AO119" s="30"/>
      <c r="AP119" s="30"/>
      <c r="AQ119" s="30"/>
      <c r="AR119" s="30"/>
      <c r="AS119" s="30" t="str">
        <f>IF(AB119&lt;&gt;"",AB119+IF(#REF!&lt;&gt;"",#REF!,0)+IF(AQ119&lt;&gt;"",AQ119,0)+IF(AR119&lt;&gt;"",AR119,0),"")</f>
        <v/>
      </c>
      <c r="AT119" s="30"/>
      <c r="AU119" s="30" t="str">
        <f t="shared" si="19"/>
        <v/>
      </c>
      <c r="AV119" s="19"/>
      <c r="AW119" s="19"/>
      <c r="AX119" s="19"/>
      <c r="AY119" s="19"/>
      <c r="AZ119" s="19"/>
    </row>
    <row r="120" spans="1:52" ht="21.75" customHeight="1" x14ac:dyDescent="0.35">
      <c r="A120" s="20">
        <f t="shared" si="15"/>
        <v>116</v>
      </c>
      <c r="B120" s="21"/>
      <c r="C120" s="31"/>
      <c r="D120" s="23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32"/>
      <c r="S120" s="32"/>
      <c r="T120" s="33" t="str">
        <f t="shared" si="16"/>
        <v/>
      </c>
      <c r="U120" s="21"/>
      <c r="V120" s="21"/>
      <c r="W120" s="21"/>
      <c r="X120" s="21"/>
      <c r="Y120" s="20" t="s">
        <v>408</v>
      </c>
      <c r="Z120" s="34"/>
      <c r="AA120" s="34" t="str">
        <f t="shared" si="17"/>
        <v/>
      </c>
      <c r="AB120" s="34" t="str">
        <f t="shared" si="18"/>
        <v/>
      </c>
      <c r="AC120" s="34"/>
      <c r="AD120" s="32"/>
      <c r="AE120" s="32"/>
      <c r="AF120" s="32"/>
      <c r="AG120" s="32"/>
      <c r="AH120" s="32"/>
      <c r="AI120" s="32"/>
      <c r="AJ120" s="32"/>
      <c r="AK120" s="34"/>
      <c r="AL120" s="32"/>
      <c r="AM120" s="21"/>
      <c r="AN120" s="34"/>
      <c r="AO120" s="34"/>
      <c r="AP120" s="34"/>
      <c r="AQ120" s="34"/>
      <c r="AR120" s="34"/>
      <c r="AS120" s="34" t="str">
        <f>IF(AB120&lt;&gt;"",AB120+IF(#REF!&lt;&gt;"",#REF!,0)+IF(AQ120&lt;&gt;"",AQ120,0)+IF(AR120&lt;&gt;"",AR120,0),"")</f>
        <v/>
      </c>
      <c r="AT120" s="34"/>
      <c r="AU120" s="34" t="str">
        <f t="shared" si="19"/>
        <v/>
      </c>
      <c r="AV120" s="21"/>
      <c r="AW120" s="21"/>
      <c r="AX120" s="21"/>
      <c r="AY120" s="21"/>
      <c r="AZ120" s="21"/>
    </row>
    <row r="121" spans="1:52" ht="21.75" customHeight="1" x14ac:dyDescent="0.35">
      <c r="A121" s="18">
        <f t="shared" si="15"/>
        <v>117</v>
      </c>
      <c r="B121" s="19"/>
      <c r="C121" s="27"/>
      <c r="D121" s="24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28"/>
      <c r="S121" s="28"/>
      <c r="T121" s="29" t="str">
        <f t="shared" si="16"/>
        <v/>
      </c>
      <c r="U121" s="19"/>
      <c r="V121" s="19"/>
      <c r="W121" s="19"/>
      <c r="X121" s="19"/>
      <c r="Y121" s="18" t="s">
        <v>408</v>
      </c>
      <c r="Z121" s="30"/>
      <c r="AA121" s="30" t="str">
        <f t="shared" si="17"/>
        <v/>
      </c>
      <c r="AB121" s="30" t="str">
        <f t="shared" si="18"/>
        <v/>
      </c>
      <c r="AC121" s="30"/>
      <c r="AD121" s="28"/>
      <c r="AE121" s="28"/>
      <c r="AF121" s="28"/>
      <c r="AG121" s="28"/>
      <c r="AH121" s="28"/>
      <c r="AI121" s="28"/>
      <c r="AJ121" s="28"/>
      <c r="AK121" s="30"/>
      <c r="AL121" s="28"/>
      <c r="AM121" s="19"/>
      <c r="AN121" s="30"/>
      <c r="AO121" s="30"/>
      <c r="AP121" s="30"/>
      <c r="AQ121" s="30"/>
      <c r="AR121" s="30"/>
      <c r="AS121" s="30" t="str">
        <f>IF(AB121&lt;&gt;"",AB121+IF(#REF!&lt;&gt;"",#REF!,0)+IF(AQ121&lt;&gt;"",AQ121,0)+IF(AR121&lt;&gt;"",AR121,0),"")</f>
        <v/>
      </c>
      <c r="AT121" s="30"/>
      <c r="AU121" s="30" t="str">
        <f t="shared" si="19"/>
        <v/>
      </c>
      <c r="AV121" s="19"/>
      <c r="AW121" s="19"/>
      <c r="AX121" s="19"/>
      <c r="AY121" s="19"/>
      <c r="AZ121" s="19"/>
    </row>
    <row r="122" spans="1:52" ht="21.75" customHeight="1" x14ac:dyDescent="0.35">
      <c r="A122" s="20">
        <f t="shared" si="15"/>
        <v>118</v>
      </c>
      <c r="B122" s="21"/>
      <c r="C122" s="31"/>
      <c r="D122" s="23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32"/>
      <c r="S122" s="32"/>
      <c r="T122" s="33" t="str">
        <f t="shared" si="16"/>
        <v/>
      </c>
      <c r="U122" s="21"/>
      <c r="V122" s="21"/>
      <c r="W122" s="21"/>
      <c r="X122" s="21"/>
      <c r="Y122" s="20" t="s">
        <v>408</v>
      </c>
      <c r="Z122" s="34"/>
      <c r="AA122" s="34" t="str">
        <f t="shared" si="17"/>
        <v/>
      </c>
      <c r="AB122" s="34" t="str">
        <f t="shared" si="18"/>
        <v/>
      </c>
      <c r="AC122" s="34"/>
      <c r="AD122" s="32"/>
      <c r="AE122" s="32"/>
      <c r="AF122" s="32"/>
      <c r="AG122" s="32"/>
      <c r="AH122" s="32"/>
      <c r="AI122" s="32"/>
      <c r="AJ122" s="32"/>
      <c r="AK122" s="34"/>
      <c r="AL122" s="32"/>
      <c r="AM122" s="21"/>
      <c r="AN122" s="34"/>
      <c r="AO122" s="34"/>
      <c r="AP122" s="34"/>
      <c r="AQ122" s="34"/>
      <c r="AR122" s="34"/>
      <c r="AS122" s="34" t="str">
        <f>IF(AB122&lt;&gt;"",AB122+IF(#REF!&lt;&gt;"",#REF!,0)+IF(AQ122&lt;&gt;"",AQ122,0)+IF(AR122&lt;&gt;"",AR122,0),"")</f>
        <v/>
      </c>
      <c r="AT122" s="34"/>
      <c r="AU122" s="34" t="str">
        <f t="shared" si="19"/>
        <v/>
      </c>
      <c r="AV122" s="21"/>
      <c r="AW122" s="21"/>
      <c r="AX122" s="21"/>
      <c r="AY122" s="21"/>
      <c r="AZ122" s="21"/>
    </row>
    <row r="123" spans="1:52" ht="21.75" customHeight="1" x14ac:dyDescent="0.35">
      <c r="A123" s="18">
        <f t="shared" si="15"/>
        <v>119</v>
      </c>
      <c r="B123" s="19"/>
      <c r="C123" s="27"/>
      <c r="D123" s="24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28"/>
      <c r="S123" s="28"/>
      <c r="T123" s="29" t="str">
        <f t="shared" si="16"/>
        <v/>
      </c>
      <c r="U123" s="19"/>
      <c r="V123" s="19"/>
      <c r="W123" s="19"/>
      <c r="X123" s="19"/>
      <c r="Y123" s="18" t="s">
        <v>408</v>
      </c>
      <c r="Z123" s="30"/>
      <c r="AA123" s="30" t="str">
        <f t="shared" si="17"/>
        <v/>
      </c>
      <c r="AB123" s="30" t="str">
        <f t="shared" si="18"/>
        <v/>
      </c>
      <c r="AC123" s="30"/>
      <c r="AD123" s="28"/>
      <c r="AE123" s="28"/>
      <c r="AF123" s="28"/>
      <c r="AG123" s="28"/>
      <c r="AH123" s="28"/>
      <c r="AI123" s="28"/>
      <c r="AJ123" s="28"/>
      <c r="AK123" s="30"/>
      <c r="AL123" s="28"/>
      <c r="AM123" s="19"/>
      <c r="AN123" s="30"/>
      <c r="AO123" s="30"/>
      <c r="AP123" s="30"/>
      <c r="AQ123" s="30"/>
      <c r="AR123" s="30"/>
      <c r="AS123" s="30" t="str">
        <f>IF(AB123&lt;&gt;"",AB123+IF(#REF!&lt;&gt;"",#REF!,0)+IF(AQ123&lt;&gt;"",AQ123,0)+IF(AR123&lt;&gt;"",AR123,0),"")</f>
        <v/>
      </c>
      <c r="AT123" s="30"/>
      <c r="AU123" s="30" t="str">
        <f t="shared" si="19"/>
        <v/>
      </c>
      <c r="AV123" s="19"/>
      <c r="AW123" s="19"/>
      <c r="AX123" s="19"/>
      <c r="AY123" s="19"/>
      <c r="AZ123" s="19"/>
    </row>
    <row r="124" spans="1:52" ht="21.75" customHeight="1" x14ac:dyDescent="0.35">
      <c r="A124" s="20">
        <f t="shared" si="15"/>
        <v>120</v>
      </c>
      <c r="B124" s="21"/>
      <c r="C124" s="31"/>
      <c r="D124" s="23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32"/>
      <c r="S124" s="32"/>
      <c r="T124" s="33" t="str">
        <f t="shared" si="16"/>
        <v/>
      </c>
      <c r="U124" s="21"/>
      <c r="V124" s="21"/>
      <c r="W124" s="21"/>
      <c r="X124" s="21"/>
      <c r="Y124" s="20" t="s">
        <v>408</v>
      </c>
      <c r="Z124" s="34"/>
      <c r="AA124" s="34" t="str">
        <f t="shared" si="17"/>
        <v/>
      </c>
      <c r="AB124" s="34" t="str">
        <f t="shared" si="18"/>
        <v/>
      </c>
      <c r="AC124" s="34"/>
      <c r="AD124" s="32"/>
      <c r="AE124" s="32"/>
      <c r="AF124" s="32"/>
      <c r="AG124" s="32"/>
      <c r="AH124" s="32"/>
      <c r="AI124" s="32"/>
      <c r="AJ124" s="32"/>
      <c r="AK124" s="34"/>
      <c r="AL124" s="32"/>
      <c r="AM124" s="21"/>
      <c r="AN124" s="34"/>
      <c r="AO124" s="34"/>
      <c r="AP124" s="34"/>
      <c r="AQ124" s="34"/>
      <c r="AR124" s="34"/>
      <c r="AS124" s="34" t="str">
        <f>IF(AB124&lt;&gt;"",AB124+IF(#REF!&lt;&gt;"",#REF!,0)+IF(AQ124&lt;&gt;"",AQ124,0)+IF(AR124&lt;&gt;"",AR124,0),"")</f>
        <v/>
      </c>
      <c r="AT124" s="34"/>
      <c r="AU124" s="34" t="str">
        <f t="shared" si="19"/>
        <v/>
      </c>
      <c r="AV124" s="21"/>
      <c r="AW124" s="21"/>
      <c r="AX124" s="21"/>
      <c r="AY124" s="21"/>
      <c r="AZ124" s="21"/>
    </row>
    <row r="125" spans="1:52" ht="21.75" customHeight="1" x14ac:dyDescent="0.35">
      <c r="A125" s="18">
        <f t="shared" si="15"/>
        <v>121</v>
      </c>
      <c r="B125" s="19"/>
      <c r="C125" s="27"/>
      <c r="D125" s="24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28"/>
      <c r="S125" s="28"/>
      <c r="T125" s="29" t="str">
        <f t="shared" si="16"/>
        <v/>
      </c>
      <c r="U125" s="19"/>
      <c r="V125" s="19"/>
      <c r="W125" s="19"/>
      <c r="X125" s="19"/>
      <c r="Y125" s="18" t="s">
        <v>408</v>
      </c>
      <c r="Z125" s="30"/>
      <c r="AA125" s="30" t="str">
        <f t="shared" si="17"/>
        <v/>
      </c>
      <c r="AB125" s="30" t="str">
        <f t="shared" si="18"/>
        <v/>
      </c>
      <c r="AC125" s="30"/>
      <c r="AD125" s="28"/>
      <c r="AE125" s="28"/>
      <c r="AF125" s="28"/>
      <c r="AG125" s="28"/>
      <c r="AH125" s="28"/>
      <c r="AI125" s="28"/>
      <c r="AJ125" s="28"/>
      <c r="AK125" s="30"/>
      <c r="AL125" s="28"/>
      <c r="AM125" s="19"/>
      <c r="AN125" s="30"/>
      <c r="AO125" s="30"/>
      <c r="AP125" s="30"/>
      <c r="AQ125" s="30"/>
      <c r="AR125" s="30"/>
      <c r="AS125" s="30" t="str">
        <f>IF(AB125&lt;&gt;"",AB125+IF(#REF!&lt;&gt;"",#REF!,0)+IF(AQ125&lt;&gt;"",AQ125,0)+IF(AR125&lt;&gt;"",AR125,0),"")</f>
        <v/>
      </c>
      <c r="AT125" s="30"/>
      <c r="AU125" s="30" t="str">
        <f t="shared" si="19"/>
        <v/>
      </c>
      <c r="AV125" s="19"/>
      <c r="AW125" s="19"/>
      <c r="AX125" s="19"/>
      <c r="AY125" s="19"/>
      <c r="AZ125" s="19"/>
    </row>
    <row r="126" spans="1:52" ht="21.75" customHeight="1" x14ac:dyDescent="0.35">
      <c r="A126" s="20">
        <f t="shared" si="15"/>
        <v>122</v>
      </c>
      <c r="B126" s="21"/>
      <c r="C126" s="31"/>
      <c r="D126" s="23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32"/>
      <c r="S126" s="32"/>
      <c r="T126" s="33" t="str">
        <f t="shared" si="16"/>
        <v/>
      </c>
      <c r="U126" s="21"/>
      <c r="V126" s="21"/>
      <c r="W126" s="21"/>
      <c r="X126" s="21"/>
      <c r="Y126" s="20" t="s">
        <v>408</v>
      </c>
      <c r="Z126" s="34"/>
      <c r="AA126" s="34" t="str">
        <f t="shared" si="17"/>
        <v/>
      </c>
      <c r="AB126" s="34" t="str">
        <f t="shared" si="18"/>
        <v/>
      </c>
      <c r="AC126" s="34"/>
      <c r="AD126" s="32"/>
      <c r="AE126" s="32"/>
      <c r="AF126" s="32"/>
      <c r="AG126" s="32"/>
      <c r="AH126" s="32"/>
      <c r="AI126" s="32"/>
      <c r="AJ126" s="32"/>
      <c r="AK126" s="34"/>
      <c r="AL126" s="32"/>
      <c r="AM126" s="21"/>
      <c r="AN126" s="34"/>
      <c r="AO126" s="34"/>
      <c r="AP126" s="34"/>
      <c r="AQ126" s="34"/>
      <c r="AR126" s="34"/>
      <c r="AS126" s="34" t="str">
        <f>IF(AB126&lt;&gt;"",AB126+IF(#REF!&lt;&gt;"",#REF!,0)+IF(AQ126&lt;&gt;"",AQ126,0)+IF(AR126&lt;&gt;"",AR126,0),"")</f>
        <v/>
      </c>
      <c r="AT126" s="34"/>
      <c r="AU126" s="34" t="str">
        <f t="shared" si="19"/>
        <v/>
      </c>
      <c r="AV126" s="21"/>
      <c r="AW126" s="21"/>
      <c r="AX126" s="21"/>
      <c r="AY126" s="21"/>
      <c r="AZ126" s="21"/>
    </row>
    <row r="127" spans="1:52" ht="21.75" customHeight="1" x14ac:dyDescent="0.35">
      <c r="A127" s="18">
        <f t="shared" si="15"/>
        <v>123</v>
      </c>
      <c r="B127" s="19"/>
      <c r="C127" s="27"/>
      <c r="D127" s="24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28"/>
      <c r="S127" s="28"/>
      <c r="T127" s="29" t="str">
        <f t="shared" si="16"/>
        <v/>
      </c>
      <c r="U127" s="19"/>
      <c r="V127" s="19"/>
      <c r="W127" s="19"/>
      <c r="X127" s="19"/>
      <c r="Y127" s="18" t="s">
        <v>408</v>
      </c>
      <c r="Z127" s="30"/>
      <c r="AA127" s="30" t="str">
        <f t="shared" si="17"/>
        <v/>
      </c>
      <c r="AB127" s="30" t="str">
        <f t="shared" si="18"/>
        <v/>
      </c>
      <c r="AC127" s="30"/>
      <c r="AD127" s="28"/>
      <c r="AE127" s="28"/>
      <c r="AF127" s="28"/>
      <c r="AG127" s="28"/>
      <c r="AH127" s="28"/>
      <c r="AI127" s="28"/>
      <c r="AJ127" s="28"/>
      <c r="AK127" s="30"/>
      <c r="AL127" s="28"/>
      <c r="AM127" s="19"/>
      <c r="AN127" s="30"/>
      <c r="AO127" s="30"/>
      <c r="AP127" s="30"/>
      <c r="AQ127" s="30"/>
      <c r="AR127" s="30"/>
      <c r="AS127" s="30" t="str">
        <f>IF(AB127&lt;&gt;"",AB127+IF(#REF!&lt;&gt;"",#REF!,0)+IF(AQ127&lt;&gt;"",AQ127,0)+IF(AR127&lt;&gt;"",AR127,0),"")</f>
        <v/>
      </c>
      <c r="AT127" s="30"/>
      <c r="AU127" s="30" t="str">
        <f t="shared" si="19"/>
        <v/>
      </c>
      <c r="AV127" s="19"/>
      <c r="AW127" s="19"/>
      <c r="AX127" s="19"/>
      <c r="AY127" s="19"/>
      <c r="AZ127" s="19"/>
    </row>
    <row r="128" spans="1:52" ht="21.75" customHeight="1" x14ac:dyDescent="0.35">
      <c r="A128" s="20">
        <f t="shared" si="15"/>
        <v>124</v>
      </c>
      <c r="B128" s="21"/>
      <c r="C128" s="31"/>
      <c r="D128" s="23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32"/>
      <c r="S128" s="32"/>
      <c r="T128" s="33" t="str">
        <f t="shared" si="16"/>
        <v/>
      </c>
      <c r="U128" s="21"/>
      <c r="V128" s="21"/>
      <c r="W128" s="21"/>
      <c r="X128" s="21"/>
      <c r="Y128" s="20" t="s">
        <v>408</v>
      </c>
      <c r="Z128" s="34"/>
      <c r="AA128" s="34" t="str">
        <f t="shared" si="17"/>
        <v/>
      </c>
      <c r="AB128" s="34" t="str">
        <f t="shared" si="18"/>
        <v/>
      </c>
      <c r="AC128" s="34"/>
      <c r="AD128" s="32"/>
      <c r="AE128" s="32"/>
      <c r="AF128" s="32"/>
      <c r="AG128" s="32"/>
      <c r="AH128" s="32"/>
      <c r="AI128" s="32"/>
      <c r="AJ128" s="32"/>
      <c r="AK128" s="34"/>
      <c r="AL128" s="32"/>
      <c r="AM128" s="21"/>
      <c r="AN128" s="34"/>
      <c r="AO128" s="34"/>
      <c r="AP128" s="34"/>
      <c r="AQ128" s="34"/>
      <c r="AR128" s="34"/>
      <c r="AS128" s="34" t="str">
        <f>IF(AB128&lt;&gt;"",AB128+IF(#REF!&lt;&gt;"",#REF!,0)+IF(AQ128&lt;&gt;"",AQ128,0)+IF(AR128&lt;&gt;"",AR128,0),"")</f>
        <v/>
      </c>
      <c r="AT128" s="34"/>
      <c r="AU128" s="34" t="str">
        <f t="shared" si="19"/>
        <v/>
      </c>
      <c r="AV128" s="21"/>
      <c r="AW128" s="21"/>
      <c r="AX128" s="21"/>
      <c r="AY128" s="21"/>
      <c r="AZ128" s="21"/>
    </row>
    <row r="129" spans="1:52" ht="21.75" customHeight="1" x14ac:dyDescent="0.35">
      <c r="A129" s="18">
        <f t="shared" si="15"/>
        <v>125</v>
      </c>
      <c r="B129" s="19"/>
      <c r="C129" s="27"/>
      <c r="D129" s="24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28"/>
      <c r="S129" s="28"/>
      <c r="T129" s="29" t="str">
        <f t="shared" si="16"/>
        <v/>
      </c>
      <c r="U129" s="19"/>
      <c r="V129" s="19"/>
      <c r="W129" s="19"/>
      <c r="X129" s="19"/>
      <c r="Y129" s="18" t="s">
        <v>408</v>
      </c>
      <c r="Z129" s="30"/>
      <c r="AA129" s="30" t="str">
        <f t="shared" si="17"/>
        <v/>
      </c>
      <c r="AB129" s="30" t="str">
        <f t="shared" si="18"/>
        <v/>
      </c>
      <c r="AC129" s="30"/>
      <c r="AD129" s="28"/>
      <c r="AE129" s="28"/>
      <c r="AF129" s="28"/>
      <c r="AG129" s="28"/>
      <c r="AH129" s="28"/>
      <c r="AI129" s="28"/>
      <c r="AJ129" s="28"/>
      <c r="AK129" s="30"/>
      <c r="AL129" s="28"/>
      <c r="AM129" s="19"/>
      <c r="AN129" s="30"/>
      <c r="AO129" s="30"/>
      <c r="AP129" s="30"/>
      <c r="AQ129" s="30"/>
      <c r="AR129" s="30"/>
      <c r="AS129" s="30" t="str">
        <f>IF(AB129&lt;&gt;"",AB129+IF(#REF!&lt;&gt;"",#REF!,0)+IF(AQ129&lt;&gt;"",AQ129,0)+IF(AR129&lt;&gt;"",AR129,0),"")</f>
        <v/>
      </c>
      <c r="AT129" s="30"/>
      <c r="AU129" s="30" t="str">
        <f t="shared" si="19"/>
        <v/>
      </c>
      <c r="AV129" s="19"/>
      <c r="AW129" s="19"/>
      <c r="AX129" s="19"/>
      <c r="AY129" s="19"/>
      <c r="AZ129" s="19"/>
    </row>
    <row r="130" spans="1:52" ht="21.75" customHeight="1" x14ac:dyDescent="0.35">
      <c r="A130" s="20">
        <f t="shared" si="15"/>
        <v>126</v>
      </c>
      <c r="B130" s="21"/>
      <c r="C130" s="31"/>
      <c r="D130" s="23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32"/>
      <c r="S130" s="32"/>
      <c r="T130" s="33" t="str">
        <f t="shared" si="16"/>
        <v/>
      </c>
      <c r="U130" s="21"/>
      <c r="V130" s="21"/>
      <c r="W130" s="21"/>
      <c r="X130" s="21"/>
      <c r="Y130" s="20" t="s">
        <v>408</v>
      </c>
      <c r="Z130" s="34"/>
      <c r="AA130" s="34" t="str">
        <f t="shared" si="17"/>
        <v/>
      </c>
      <c r="AB130" s="34" t="str">
        <f t="shared" si="18"/>
        <v/>
      </c>
      <c r="AC130" s="34"/>
      <c r="AD130" s="32"/>
      <c r="AE130" s="32"/>
      <c r="AF130" s="32"/>
      <c r="AG130" s="32"/>
      <c r="AH130" s="32"/>
      <c r="AI130" s="32"/>
      <c r="AJ130" s="32"/>
      <c r="AK130" s="34"/>
      <c r="AL130" s="32"/>
      <c r="AM130" s="21"/>
      <c r="AN130" s="34"/>
      <c r="AO130" s="34"/>
      <c r="AP130" s="34"/>
      <c r="AQ130" s="34"/>
      <c r="AR130" s="34"/>
      <c r="AS130" s="34" t="str">
        <f>IF(AB130&lt;&gt;"",AB130+IF(#REF!&lt;&gt;"",#REF!,0)+IF(AQ130&lt;&gt;"",AQ130,0)+IF(AR130&lt;&gt;"",AR130,0),"")</f>
        <v/>
      </c>
      <c r="AT130" s="34"/>
      <c r="AU130" s="34" t="str">
        <f t="shared" si="19"/>
        <v/>
      </c>
      <c r="AV130" s="21"/>
      <c r="AW130" s="21"/>
      <c r="AX130" s="21"/>
      <c r="AY130" s="21"/>
      <c r="AZ130" s="21"/>
    </row>
    <row r="131" spans="1:52" ht="21.75" customHeight="1" x14ac:dyDescent="0.35">
      <c r="A131" s="18">
        <f t="shared" si="15"/>
        <v>127</v>
      </c>
      <c r="B131" s="19"/>
      <c r="C131" s="27"/>
      <c r="D131" s="24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28"/>
      <c r="S131" s="28"/>
      <c r="T131" s="29" t="str">
        <f t="shared" si="16"/>
        <v/>
      </c>
      <c r="U131" s="19"/>
      <c r="V131" s="19"/>
      <c r="W131" s="19"/>
      <c r="X131" s="19"/>
      <c r="Y131" s="18" t="s">
        <v>408</v>
      </c>
      <c r="Z131" s="30"/>
      <c r="AA131" s="30" t="str">
        <f t="shared" si="17"/>
        <v/>
      </c>
      <c r="AB131" s="30" t="str">
        <f t="shared" si="18"/>
        <v/>
      </c>
      <c r="AC131" s="30"/>
      <c r="AD131" s="28"/>
      <c r="AE131" s="28"/>
      <c r="AF131" s="28"/>
      <c r="AG131" s="28"/>
      <c r="AH131" s="28"/>
      <c r="AI131" s="28"/>
      <c r="AJ131" s="28"/>
      <c r="AK131" s="30"/>
      <c r="AL131" s="28"/>
      <c r="AM131" s="19"/>
      <c r="AN131" s="30"/>
      <c r="AO131" s="30"/>
      <c r="AP131" s="30"/>
      <c r="AQ131" s="30"/>
      <c r="AR131" s="30"/>
      <c r="AS131" s="30" t="str">
        <f>IF(AB131&lt;&gt;"",AB131+IF(#REF!&lt;&gt;"",#REF!,0)+IF(AQ131&lt;&gt;"",AQ131,0)+IF(AR131&lt;&gt;"",AR131,0),"")</f>
        <v/>
      </c>
      <c r="AT131" s="30"/>
      <c r="AU131" s="30" t="str">
        <f t="shared" si="19"/>
        <v/>
      </c>
      <c r="AV131" s="19"/>
      <c r="AW131" s="19"/>
      <c r="AX131" s="19"/>
      <c r="AY131" s="19"/>
      <c r="AZ131" s="19"/>
    </row>
    <row r="132" spans="1:52" ht="21.75" customHeight="1" x14ac:dyDescent="0.35">
      <c r="A132" s="20">
        <f t="shared" si="15"/>
        <v>128</v>
      </c>
      <c r="B132" s="21"/>
      <c r="C132" s="31"/>
      <c r="D132" s="23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32"/>
      <c r="S132" s="32"/>
      <c r="T132" s="33" t="str">
        <f t="shared" si="16"/>
        <v/>
      </c>
      <c r="U132" s="21"/>
      <c r="V132" s="21"/>
      <c r="W132" s="21"/>
      <c r="X132" s="21"/>
      <c r="Y132" s="20" t="s">
        <v>408</v>
      </c>
      <c r="Z132" s="34"/>
      <c r="AA132" s="34" t="str">
        <f t="shared" si="17"/>
        <v/>
      </c>
      <c r="AB132" s="34" t="str">
        <f t="shared" si="18"/>
        <v/>
      </c>
      <c r="AC132" s="34"/>
      <c r="AD132" s="32"/>
      <c r="AE132" s="32"/>
      <c r="AF132" s="32"/>
      <c r="AG132" s="32"/>
      <c r="AH132" s="32"/>
      <c r="AI132" s="32"/>
      <c r="AJ132" s="32"/>
      <c r="AK132" s="34"/>
      <c r="AL132" s="32"/>
      <c r="AM132" s="21"/>
      <c r="AN132" s="34"/>
      <c r="AO132" s="34"/>
      <c r="AP132" s="34"/>
      <c r="AQ132" s="34"/>
      <c r="AR132" s="34"/>
      <c r="AS132" s="34" t="str">
        <f>IF(AB132&lt;&gt;"",AB132+IF(#REF!&lt;&gt;"",#REF!,0)+IF(AQ132&lt;&gt;"",AQ132,0)+IF(AR132&lt;&gt;"",AR132,0),"")</f>
        <v/>
      </c>
      <c r="AT132" s="34"/>
      <c r="AU132" s="34" t="str">
        <f t="shared" si="19"/>
        <v/>
      </c>
      <c r="AV132" s="21"/>
      <c r="AW132" s="21"/>
      <c r="AX132" s="21"/>
      <c r="AY132" s="21"/>
      <c r="AZ132" s="21"/>
    </row>
    <row r="133" spans="1:52" ht="21.75" customHeight="1" x14ac:dyDescent="0.35">
      <c r="A133" s="18">
        <f t="shared" ref="A133:A164" si="20">ROW()-4</f>
        <v>129</v>
      </c>
      <c r="B133" s="19"/>
      <c r="C133" s="27"/>
      <c r="D133" s="24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28"/>
      <c r="S133" s="28"/>
      <c r="T133" s="29" t="str">
        <f t="shared" ref="T133:T164" si="21">IF(AND(R133&lt;&gt;"",S133&lt;&gt;""),S133-R133,"")</f>
        <v/>
      </c>
      <c r="U133" s="19"/>
      <c r="V133" s="19"/>
      <c r="W133" s="19"/>
      <c r="X133" s="19"/>
      <c r="Y133" s="18" t="s">
        <v>408</v>
      </c>
      <c r="Z133" s="30"/>
      <c r="AA133" s="30" t="str">
        <f t="shared" ref="AA133:AA164" si="22">IF(Z133&lt;&gt;"",ROUND(Z133/30,2),"")</f>
        <v/>
      </c>
      <c r="AB133" s="30" t="str">
        <f t="shared" ref="AB133:AB164" si="23">IF(AND(Z133&lt;&gt;"",T133&lt;&gt;""),ROUND(Z133/30*T133,2),"")</f>
        <v/>
      </c>
      <c r="AC133" s="30"/>
      <c r="AD133" s="28"/>
      <c r="AE133" s="28"/>
      <c r="AF133" s="28"/>
      <c r="AG133" s="28"/>
      <c r="AH133" s="28"/>
      <c r="AI133" s="28"/>
      <c r="AJ133" s="28"/>
      <c r="AK133" s="30"/>
      <c r="AL133" s="28"/>
      <c r="AM133" s="19"/>
      <c r="AN133" s="30"/>
      <c r="AO133" s="30"/>
      <c r="AP133" s="30"/>
      <c r="AQ133" s="30"/>
      <c r="AR133" s="30"/>
      <c r="AS133" s="30" t="str">
        <f>IF(AB133&lt;&gt;"",AB133+IF(#REF!&lt;&gt;"",#REF!,0)+IF(AQ133&lt;&gt;"",AQ133,0)+IF(AR133&lt;&gt;"",AR133,0),"")</f>
        <v/>
      </c>
      <c r="AT133" s="30"/>
      <c r="AU133" s="30" t="str">
        <f t="shared" ref="AU133:AU164" si="24">IF(AS133&lt;&gt;"",AS133-IF(AT133&lt;&gt;"",AT133,0),"")</f>
        <v/>
      </c>
      <c r="AV133" s="19"/>
      <c r="AW133" s="19"/>
      <c r="AX133" s="19"/>
      <c r="AY133" s="19"/>
      <c r="AZ133" s="19"/>
    </row>
    <row r="134" spans="1:52" ht="21.75" customHeight="1" x14ac:dyDescent="0.35">
      <c r="A134" s="20">
        <f t="shared" si="20"/>
        <v>130</v>
      </c>
      <c r="B134" s="21"/>
      <c r="C134" s="31"/>
      <c r="D134" s="23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32"/>
      <c r="S134" s="32"/>
      <c r="T134" s="33" t="str">
        <f t="shared" si="21"/>
        <v/>
      </c>
      <c r="U134" s="21"/>
      <c r="V134" s="21"/>
      <c r="W134" s="21"/>
      <c r="X134" s="21"/>
      <c r="Y134" s="20" t="s">
        <v>408</v>
      </c>
      <c r="Z134" s="34"/>
      <c r="AA134" s="34" t="str">
        <f t="shared" si="22"/>
        <v/>
      </c>
      <c r="AB134" s="34" t="str">
        <f t="shared" si="23"/>
        <v/>
      </c>
      <c r="AC134" s="34"/>
      <c r="AD134" s="32"/>
      <c r="AE134" s="32"/>
      <c r="AF134" s="32"/>
      <c r="AG134" s="32"/>
      <c r="AH134" s="32"/>
      <c r="AI134" s="32"/>
      <c r="AJ134" s="32"/>
      <c r="AK134" s="34"/>
      <c r="AL134" s="32"/>
      <c r="AM134" s="21"/>
      <c r="AN134" s="34"/>
      <c r="AO134" s="34"/>
      <c r="AP134" s="34"/>
      <c r="AQ134" s="34"/>
      <c r="AR134" s="34"/>
      <c r="AS134" s="34" t="str">
        <f>IF(AB134&lt;&gt;"",AB134+IF(#REF!&lt;&gt;"",#REF!,0)+IF(AQ134&lt;&gt;"",AQ134,0)+IF(AR134&lt;&gt;"",AR134,0),"")</f>
        <v/>
      </c>
      <c r="AT134" s="34"/>
      <c r="AU134" s="34" t="str">
        <f t="shared" si="24"/>
        <v/>
      </c>
      <c r="AV134" s="21"/>
      <c r="AW134" s="21"/>
      <c r="AX134" s="21"/>
      <c r="AY134" s="21"/>
      <c r="AZ134" s="21"/>
    </row>
    <row r="135" spans="1:52" ht="21.75" customHeight="1" x14ac:dyDescent="0.35">
      <c r="A135" s="18">
        <f t="shared" si="20"/>
        <v>131</v>
      </c>
      <c r="B135" s="19"/>
      <c r="C135" s="27"/>
      <c r="D135" s="24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28"/>
      <c r="S135" s="28"/>
      <c r="T135" s="29" t="str">
        <f t="shared" si="21"/>
        <v/>
      </c>
      <c r="U135" s="19"/>
      <c r="V135" s="19"/>
      <c r="W135" s="19"/>
      <c r="X135" s="19"/>
      <c r="Y135" s="18" t="s">
        <v>408</v>
      </c>
      <c r="Z135" s="30"/>
      <c r="AA135" s="30" t="str">
        <f t="shared" si="22"/>
        <v/>
      </c>
      <c r="AB135" s="30" t="str">
        <f t="shared" si="23"/>
        <v/>
      </c>
      <c r="AC135" s="30"/>
      <c r="AD135" s="28"/>
      <c r="AE135" s="28"/>
      <c r="AF135" s="28"/>
      <c r="AG135" s="28"/>
      <c r="AH135" s="28"/>
      <c r="AI135" s="28"/>
      <c r="AJ135" s="28"/>
      <c r="AK135" s="30"/>
      <c r="AL135" s="28"/>
      <c r="AM135" s="19"/>
      <c r="AN135" s="30"/>
      <c r="AO135" s="30"/>
      <c r="AP135" s="30"/>
      <c r="AQ135" s="30"/>
      <c r="AR135" s="30"/>
      <c r="AS135" s="30" t="str">
        <f>IF(AB135&lt;&gt;"",AB135+IF(#REF!&lt;&gt;"",#REF!,0)+IF(AQ135&lt;&gt;"",AQ135,0)+IF(AR135&lt;&gt;"",AR135,0),"")</f>
        <v/>
      </c>
      <c r="AT135" s="30"/>
      <c r="AU135" s="30" t="str">
        <f t="shared" si="24"/>
        <v/>
      </c>
      <c r="AV135" s="19"/>
      <c r="AW135" s="19"/>
      <c r="AX135" s="19"/>
      <c r="AY135" s="19"/>
      <c r="AZ135" s="19"/>
    </row>
    <row r="136" spans="1:52" ht="21.75" customHeight="1" x14ac:dyDescent="0.35">
      <c r="A136" s="20">
        <f t="shared" si="20"/>
        <v>132</v>
      </c>
      <c r="B136" s="21"/>
      <c r="C136" s="31"/>
      <c r="D136" s="23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32"/>
      <c r="S136" s="32"/>
      <c r="T136" s="33" t="str">
        <f t="shared" si="21"/>
        <v/>
      </c>
      <c r="U136" s="21"/>
      <c r="V136" s="21"/>
      <c r="W136" s="21"/>
      <c r="X136" s="21"/>
      <c r="Y136" s="20" t="s">
        <v>408</v>
      </c>
      <c r="Z136" s="34"/>
      <c r="AA136" s="34" t="str">
        <f t="shared" si="22"/>
        <v/>
      </c>
      <c r="AB136" s="34" t="str">
        <f t="shared" si="23"/>
        <v/>
      </c>
      <c r="AC136" s="34"/>
      <c r="AD136" s="32"/>
      <c r="AE136" s="32"/>
      <c r="AF136" s="32"/>
      <c r="AG136" s="32"/>
      <c r="AH136" s="32"/>
      <c r="AI136" s="32"/>
      <c r="AJ136" s="32"/>
      <c r="AK136" s="34"/>
      <c r="AL136" s="32"/>
      <c r="AM136" s="21"/>
      <c r="AN136" s="34"/>
      <c r="AO136" s="34"/>
      <c r="AP136" s="34"/>
      <c r="AQ136" s="34"/>
      <c r="AR136" s="34"/>
      <c r="AS136" s="34" t="str">
        <f>IF(AB136&lt;&gt;"",AB136+IF(#REF!&lt;&gt;"",#REF!,0)+IF(AQ136&lt;&gt;"",AQ136,0)+IF(AR136&lt;&gt;"",AR136,0),"")</f>
        <v/>
      </c>
      <c r="AT136" s="34"/>
      <c r="AU136" s="34" t="str">
        <f t="shared" si="24"/>
        <v/>
      </c>
      <c r="AV136" s="21"/>
      <c r="AW136" s="21"/>
      <c r="AX136" s="21"/>
      <c r="AY136" s="21"/>
      <c r="AZ136" s="21"/>
    </row>
    <row r="137" spans="1:52" ht="21.75" customHeight="1" x14ac:dyDescent="0.35">
      <c r="A137" s="18">
        <f t="shared" si="20"/>
        <v>133</v>
      </c>
      <c r="B137" s="19"/>
      <c r="C137" s="27"/>
      <c r="D137" s="24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28"/>
      <c r="S137" s="28"/>
      <c r="T137" s="29" t="str">
        <f t="shared" si="21"/>
        <v/>
      </c>
      <c r="U137" s="19"/>
      <c r="V137" s="19"/>
      <c r="W137" s="19"/>
      <c r="X137" s="19"/>
      <c r="Y137" s="18" t="s">
        <v>408</v>
      </c>
      <c r="Z137" s="30"/>
      <c r="AA137" s="30" t="str">
        <f t="shared" si="22"/>
        <v/>
      </c>
      <c r="AB137" s="30" t="str">
        <f t="shared" si="23"/>
        <v/>
      </c>
      <c r="AC137" s="30"/>
      <c r="AD137" s="28"/>
      <c r="AE137" s="28"/>
      <c r="AF137" s="28"/>
      <c r="AG137" s="28"/>
      <c r="AH137" s="28"/>
      <c r="AI137" s="28"/>
      <c r="AJ137" s="28"/>
      <c r="AK137" s="30"/>
      <c r="AL137" s="28"/>
      <c r="AM137" s="19"/>
      <c r="AN137" s="30"/>
      <c r="AO137" s="30"/>
      <c r="AP137" s="30"/>
      <c r="AQ137" s="30"/>
      <c r="AR137" s="30"/>
      <c r="AS137" s="30" t="str">
        <f>IF(AB137&lt;&gt;"",AB137+IF(#REF!&lt;&gt;"",#REF!,0)+IF(AQ137&lt;&gt;"",AQ137,0)+IF(AR137&lt;&gt;"",AR137,0),"")</f>
        <v/>
      </c>
      <c r="AT137" s="30"/>
      <c r="AU137" s="30" t="str">
        <f t="shared" si="24"/>
        <v/>
      </c>
      <c r="AV137" s="19"/>
      <c r="AW137" s="19"/>
      <c r="AX137" s="19"/>
      <c r="AY137" s="19"/>
      <c r="AZ137" s="19"/>
    </row>
    <row r="138" spans="1:52" ht="21.75" customHeight="1" x14ac:dyDescent="0.35">
      <c r="A138" s="20">
        <f t="shared" si="20"/>
        <v>134</v>
      </c>
      <c r="B138" s="21"/>
      <c r="C138" s="31"/>
      <c r="D138" s="23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32"/>
      <c r="S138" s="32"/>
      <c r="T138" s="33" t="str">
        <f t="shared" si="21"/>
        <v/>
      </c>
      <c r="U138" s="21"/>
      <c r="V138" s="21"/>
      <c r="W138" s="21"/>
      <c r="X138" s="21"/>
      <c r="Y138" s="20" t="s">
        <v>408</v>
      </c>
      <c r="Z138" s="34"/>
      <c r="AA138" s="34" t="str">
        <f t="shared" si="22"/>
        <v/>
      </c>
      <c r="AB138" s="34" t="str">
        <f t="shared" si="23"/>
        <v/>
      </c>
      <c r="AC138" s="34"/>
      <c r="AD138" s="32"/>
      <c r="AE138" s="32"/>
      <c r="AF138" s="32"/>
      <c r="AG138" s="32"/>
      <c r="AH138" s="32"/>
      <c r="AI138" s="32"/>
      <c r="AJ138" s="32"/>
      <c r="AK138" s="34"/>
      <c r="AL138" s="32"/>
      <c r="AM138" s="21"/>
      <c r="AN138" s="34"/>
      <c r="AO138" s="34"/>
      <c r="AP138" s="34"/>
      <c r="AQ138" s="34"/>
      <c r="AR138" s="34"/>
      <c r="AS138" s="34" t="str">
        <f>IF(AB138&lt;&gt;"",AB138+IF(#REF!&lt;&gt;"",#REF!,0)+IF(AQ138&lt;&gt;"",AQ138,0)+IF(AR138&lt;&gt;"",AR138,0),"")</f>
        <v/>
      </c>
      <c r="AT138" s="34"/>
      <c r="AU138" s="34" t="str">
        <f t="shared" si="24"/>
        <v/>
      </c>
      <c r="AV138" s="21"/>
      <c r="AW138" s="21"/>
      <c r="AX138" s="21"/>
      <c r="AY138" s="21"/>
      <c r="AZ138" s="21"/>
    </row>
    <row r="139" spans="1:52" ht="21.75" customHeight="1" x14ac:dyDescent="0.35">
      <c r="A139" s="18">
        <f t="shared" si="20"/>
        <v>135</v>
      </c>
      <c r="B139" s="19"/>
      <c r="C139" s="27"/>
      <c r="D139" s="24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28"/>
      <c r="S139" s="28"/>
      <c r="T139" s="29" t="str">
        <f t="shared" si="21"/>
        <v/>
      </c>
      <c r="U139" s="19"/>
      <c r="V139" s="19"/>
      <c r="W139" s="19"/>
      <c r="X139" s="19"/>
      <c r="Y139" s="18" t="s">
        <v>408</v>
      </c>
      <c r="Z139" s="30"/>
      <c r="AA139" s="30" t="str">
        <f t="shared" si="22"/>
        <v/>
      </c>
      <c r="AB139" s="30" t="str">
        <f t="shared" si="23"/>
        <v/>
      </c>
      <c r="AC139" s="30"/>
      <c r="AD139" s="28"/>
      <c r="AE139" s="28"/>
      <c r="AF139" s="28"/>
      <c r="AG139" s="28"/>
      <c r="AH139" s="28"/>
      <c r="AI139" s="28"/>
      <c r="AJ139" s="28"/>
      <c r="AK139" s="30"/>
      <c r="AL139" s="28"/>
      <c r="AM139" s="19"/>
      <c r="AN139" s="30"/>
      <c r="AO139" s="30"/>
      <c r="AP139" s="30"/>
      <c r="AQ139" s="30"/>
      <c r="AR139" s="30"/>
      <c r="AS139" s="30" t="str">
        <f>IF(AB139&lt;&gt;"",AB139+IF(#REF!&lt;&gt;"",#REF!,0)+IF(AQ139&lt;&gt;"",AQ139,0)+IF(AR139&lt;&gt;"",AR139,0),"")</f>
        <v/>
      </c>
      <c r="AT139" s="30"/>
      <c r="AU139" s="30" t="str">
        <f t="shared" si="24"/>
        <v/>
      </c>
      <c r="AV139" s="19"/>
      <c r="AW139" s="19"/>
      <c r="AX139" s="19"/>
      <c r="AY139" s="19"/>
      <c r="AZ139" s="19"/>
    </row>
    <row r="140" spans="1:52" ht="21.75" customHeight="1" x14ac:dyDescent="0.35">
      <c r="A140" s="20">
        <f t="shared" si="20"/>
        <v>136</v>
      </c>
      <c r="B140" s="21"/>
      <c r="C140" s="31"/>
      <c r="D140" s="23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32"/>
      <c r="S140" s="32"/>
      <c r="T140" s="33" t="str">
        <f t="shared" si="21"/>
        <v/>
      </c>
      <c r="U140" s="21"/>
      <c r="V140" s="21"/>
      <c r="W140" s="21"/>
      <c r="X140" s="21"/>
      <c r="Y140" s="20" t="s">
        <v>408</v>
      </c>
      <c r="Z140" s="34"/>
      <c r="AA140" s="34" t="str">
        <f t="shared" si="22"/>
        <v/>
      </c>
      <c r="AB140" s="34" t="str">
        <f t="shared" si="23"/>
        <v/>
      </c>
      <c r="AC140" s="34"/>
      <c r="AD140" s="32"/>
      <c r="AE140" s="32"/>
      <c r="AF140" s="32"/>
      <c r="AG140" s="32"/>
      <c r="AH140" s="32"/>
      <c r="AI140" s="32"/>
      <c r="AJ140" s="32"/>
      <c r="AK140" s="34"/>
      <c r="AL140" s="32"/>
      <c r="AM140" s="21"/>
      <c r="AN140" s="34"/>
      <c r="AO140" s="34"/>
      <c r="AP140" s="34"/>
      <c r="AQ140" s="34"/>
      <c r="AR140" s="34"/>
      <c r="AS140" s="34" t="str">
        <f>IF(AB140&lt;&gt;"",AB140+IF(#REF!&lt;&gt;"",#REF!,0)+IF(AQ140&lt;&gt;"",AQ140,0)+IF(AR140&lt;&gt;"",AR140,0),"")</f>
        <v/>
      </c>
      <c r="AT140" s="34"/>
      <c r="AU140" s="34" t="str">
        <f t="shared" si="24"/>
        <v/>
      </c>
      <c r="AV140" s="21"/>
      <c r="AW140" s="21"/>
      <c r="AX140" s="21"/>
      <c r="AY140" s="21"/>
      <c r="AZ140" s="21"/>
    </row>
    <row r="141" spans="1:52" ht="21.75" customHeight="1" x14ac:dyDescent="0.35">
      <c r="A141" s="18">
        <f t="shared" si="20"/>
        <v>137</v>
      </c>
      <c r="B141" s="19"/>
      <c r="C141" s="27"/>
      <c r="D141" s="24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28"/>
      <c r="S141" s="28"/>
      <c r="T141" s="29" t="str">
        <f t="shared" si="21"/>
        <v/>
      </c>
      <c r="U141" s="19"/>
      <c r="V141" s="19"/>
      <c r="W141" s="19"/>
      <c r="X141" s="19"/>
      <c r="Y141" s="18" t="s">
        <v>408</v>
      </c>
      <c r="Z141" s="30"/>
      <c r="AA141" s="30" t="str">
        <f t="shared" si="22"/>
        <v/>
      </c>
      <c r="AB141" s="30" t="str">
        <f t="shared" si="23"/>
        <v/>
      </c>
      <c r="AC141" s="30"/>
      <c r="AD141" s="28"/>
      <c r="AE141" s="28"/>
      <c r="AF141" s="28"/>
      <c r="AG141" s="28"/>
      <c r="AH141" s="28"/>
      <c r="AI141" s="28"/>
      <c r="AJ141" s="28"/>
      <c r="AK141" s="30"/>
      <c r="AL141" s="28"/>
      <c r="AM141" s="19"/>
      <c r="AN141" s="30"/>
      <c r="AO141" s="30"/>
      <c r="AP141" s="30"/>
      <c r="AQ141" s="30"/>
      <c r="AR141" s="30"/>
      <c r="AS141" s="30" t="str">
        <f>IF(AB141&lt;&gt;"",AB141+IF(#REF!&lt;&gt;"",#REF!,0)+IF(AQ141&lt;&gt;"",AQ141,0)+IF(AR141&lt;&gt;"",AR141,0),"")</f>
        <v/>
      </c>
      <c r="AT141" s="30"/>
      <c r="AU141" s="30" t="str">
        <f t="shared" si="24"/>
        <v/>
      </c>
      <c r="AV141" s="19"/>
      <c r="AW141" s="19"/>
      <c r="AX141" s="19"/>
      <c r="AY141" s="19"/>
      <c r="AZ141" s="19"/>
    </row>
    <row r="142" spans="1:52" ht="21.75" customHeight="1" x14ac:dyDescent="0.35">
      <c r="A142" s="20">
        <f t="shared" si="20"/>
        <v>138</v>
      </c>
      <c r="B142" s="21"/>
      <c r="C142" s="31"/>
      <c r="D142" s="23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32"/>
      <c r="S142" s="32"/>
      <c r="T142" s="33" t="str">
        <f t="shared" si="21"/>
        <v/>
      </c>
      <c r="U142" s="21"/>
      <c r="V142" s="21"/>
      <c r="W142" s="21"/>
      <c r="X142" s="21"/>
      <c r="Y142" s="20" t="s">
        <v>408</v>
      </c>
      <c r="Z142" s="34"/>
      <c r="AA142" s="34" t="str">
        <f t="shared" si="22"/>
        <v/>
      </c>
      <c r="AB142" s="34" t="str">
        <f t="shared" si="23"/>
        <v/>
      </c>
      <c r="AC142" s="34"/>
      <c r="AD142" s="32"/>
      <c r="AE142" s="32"/>
      <c r="AF142" s="32"/>
      <c r="AG142" s="32"/>
      <c r="AH142" s="32"/>
      <c r="AI142" s="32"/>
      <c r="AJ142" s="32"/>
      <c r="AK142" s="34"/>
      <c r="AL142" s="32"/>
      <c r="AM142" s="21"/>
      <c r="AN142" s="34"/>
      <c r="AO142" s="34"/>
      <c r="AP142" s="34"/>
      <c r="AQ142" s="34"/>
      <c r="AR142" s="34"/>
      <c r="AS142" s="34" t="str">
        <f>IF(AB142&lt;&gt;"",AB142+IF(#REF!&lt;&gt;"",#REF!,0)+IF(AQ142&lt;&gt;"",AQ142,0)+IF(AR142&lt;&gt;"",AR142,0),"")</f>
        <v/>
      </c>
      <c r="AT142" s="34"/>
      <c r="AU142" s="34" t="str">
        <f t="shared" si="24"/>
        <v/>
      </c>
      <c r="AV142" s="21"/>
      <c r="AW142" s="21"/>
      <c r="AX142" s="21"/>
      <c r="AY142" s="21"/>
      <c r="AZ142" s="21"/>
    </row>
    <row r="143" spans="1:52" ht="21.75" customHeight="1" x14ac:dyDescent="0.35">
      <c r="A143" s="18">
        <f t="shared" si="20"/>
        <v>139</v>
      </c>
      <c r="B143" s="19"/>
      <c r="C143" s="27"/>
      <c r="D143" s="24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28"/>
      <c r="S143" s="28"/>
      <c r="T143" s="29" t="str">
        <f t="shared" si="21"/>
        <v/>
      </c>
      <c r="U143" s="19"/>
      <c r="V143" s="19"/>
      <c r="W143" s="19"/>
      <c r="X143" s="19"/>
      <c r="Y143" s="18" t="s">
        <v>408</v>
      </c>
      <c r="Z143" s="30"/>
      <c r="AA143" s="30" t="str">
        <f t="shared" si="22"/>
        <v/>
      </c>
      <c r="AB143" s="30" t="str">
        <f t="shared" si="23"/>
        <v/>
      </c>
      <c r="AC143" s="30"/>
      <c r="AD143" s="28"/>
      <c r="AE143" s="28"/>
      <c r="AF143" s="28"/>
      <c r="AG143" s="28"/>
      <c r="AH143" s="28"/>
      <c r="AI143" s="28"/>
      <c r="AJ143" s="28"/>
      <c r="AK143" s="30"/>
      <c r="AL143" s="28"/>
      <c r="AM143" s="19"/>
      <c r="AN143" s="30"/>
      <c r="AO143" s="30"/>
      <c r="AP143" s="30"/>
      <c r="AQ143" s="30"/>
      <c r="AR143" s="30"/>
      <c r="AS143" s="30" t="str">
        <f>IF(AB143&lt;&gt;"",AB143+IF(#REF!&lt;&gt;"",#REF!,0)+IF(AQ143&lt;&gt;"",AQ143,0)+IF(AR143&lt;&gt;"",AR143,0),"")</f>
        <v/>
      </c>
      <c r="AT143" s="30"/>
      <c r="AU143" s="30" t="str">
        <f t="shared" si="24"/>
        <v/>
      </c>
      <c r="AV143" s="19"/>
      <c r="AW143" s="19"/>
      <c r="AX143" s="19"/>
      <c r="AY143" s="19"/>
      <c r="AZ143" s="19"/>
    </row>
    <row r="144" spans="1:52" ht="21.75" customHeight="1" x14ac:dyDescent="0.35">
      <c r="A144" s="20">
        <f t="shared" si="20"/>
        <v>140</v>
      </c>
      <c r="B144" s="21"/>
      <c r="C144" s="31"/>
      <c r="D144" s="23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32"/>
      <c r="S144" s="32"/>
      <c r="T144" s="33" t="str">
        <f t="shared" si="21"/>
        <v/>
      </c>
      <c r="U144" s="21"/>
      <c r="V144" s="21"/>
      <c r="W144" s="21"/>
      <c r="X144" s="21"/>
      <c r="Y144" s="20" t="s">
        <v>408</v>
      </c>
      <c r="Z144" s="34"/>
      <c r="AA144" s="34" t="str">
        <f t="shared" si="22"/>
        <v/>
      </c>
      <c r="AB144" s="34" t="str">
        <f t="shared" si="23"/>
        <v/>
      </c>
      <c r="AC144" s="34"/>
      <c r="AD144" s="32"/>
      <c r="AE144" s="32"/>
      <c r="AF144" s="32"/>
      <c r="AG144" s="32"/>
      <c r="AH144" s="32"/>
      <c r="AI144" s="32"/>
      <c r="AJ144" s="32"/>
      <c r="AK144" s="34"/>
      <c r="AL144" s="32"/>
      <c r="AM144" s="21"/>
      <c r="AN144" s="34"/>
      <c r="AO144" s="34"/>
      <c r="AP144" s="34"/>
      <c r="AQ144" s="34"/>
      <c r="AR144" s="34"/>
      <c r="AS144" s="34" t="str">
        <f>IF(AB144&lt;&gt;"",AB144+IF(#REF!&lt;&gt;"",#REF!,0)+IF(AQ144&lt;&gt;"",AQ144,0)+IF(AR144&lt;&gt;"",AR144,0),"")</f>
        <v/>
      </c>
      <c r="AT144" s="34"/>
      <c r="AU144" s="34" t="str">
        <f t="shared" si="24"/>
        <v/>
      </c>
      <c r="AV144" s="21"/>
      <c r="AW144" s="21"/>
      <c r="AX144" s="21"/>
      <c r="AY144" s="21"/>
      <c r="AZ144" s="21"/>
    </row>
    <row r="145" spans="1:52" ht="21.75" customHeight="1" x14ac:dyDescent="0.35">
      <c r="A145" s="18">
        <f t="shared" si="20"/>
        <v>141</v>
      </c>
      <c r="B145" s="19"/>
      <c r="C145" s="27"/>
      <c r="D145" s="2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28"/>
      <c r="S145" s="28"/>
      <c r="T145" s="29" t="str">
        <f t="shared" si="21"/>
        <v/>
      </c>
      <c r="U145" s="19"/>
      <c r="V145" s="19"/>
      <c r="W145" s="19"/>
      <c r="X145" s="19"/>
      <c r="Y145" s="18" t="s">
        <v>408</v>
      </c>
      <c r="Z145" s="30"/>
      <c r="AA145" s="30" t="str">
        <f t="shared" si="22"/>
        <v/>
      </c>
      <c r="AB145" s="30" t="str">
        <f t="shared" si="23"/>
        <v/>
      </c>
      <c r="AC145" s="30"/>
      <c r="AD145" s="28"/>
      <c r="AE145" s="28"/>
      <c r="AF145" s="28"/>
      <c r="AG145" s="28"/>
      <c r="AH145" s="28"/>
      <c r="AI145" s="28"/>
      <c r="AJ145" s="28"/>
      <c r="AK145" s="30"/>
      <c r="AL145" s="28"/>
      <c r="AM145" s="19"/>
      <c r="AN145" s="30"/>
      <c r="AO145" s="30"/>
      <c r="AP145" s="30"/>
      <c r="AQ145" s="30"/>
      <c r="AR145" s="30"/>
      <c r="AS145" s="30" t="str">
        <f>IF(AB145&lt;&gt;"",AB145+IF(#REF!&lt;&gt;"",#REF!,0)+IF(AQ145&lt;&gt;"",AQ145,0)+IF(AR145&lt;&gt;"",AR145,0),"")</f>
        <v/>
      </c>
      <c r="AT145" s="30"/>
      <c r="AU145" s="30" t="str">
        <f t="shared" si="24"/>
        <v/>
      </c>
      <c r="AV145" s="19"/>
      <c r="AW145" s="19"/>
      <c r="AX145" s="19"/>
      <c r="AY145" s="19"/>
      <c r="AZ145" s="19"/>
    </row>
    <row r="146" spans="1:52" ht="21.75" customHeight="1" x14ac:dyDescent="0.35">
      <c r="A146" s="20">
        <f t="shared" si="20"/>
        <v>142</v>
      </c>
      <c r="B146" s="21"/>
      <c r="C146" s="31"/>
      <c r="D146" s="23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32"/>
      <c r="S146" s="32"/>
      <c r="T146" s="33" t="str">
        <f t="shared" si="21"/>
        <v/>
      </c>
      <c r="U146" s="21"/>
      <c r="V146" s="21"/>
      <c r="W146" s="21"/>
      <c r="X146" s="21"/>
      <c r="Y146" s="20" t="s">
        <v>408</v>
      </c>
      <c r="Z146" s="34"/>
      <c r="AA146" s="34" t="str">
        <f t="shared" si="22"/>
        <v/>
      </c>
      <c r="AB146" s="34" t="str">
        <f t="shared" si="23"/>
        <v/>
      </c>
      <c r="AC146" s="34"/>
      <c r="AD146" s="32"/>
      <c r="AE146" s="32"/>
      <c r="AF146" s="32"/>
      <c r="AG146" s="32"/>
      <c r="AH146" s="32"/>
      <c r="AI146" s="32"/>
      <c r="AJ146" s="32"/>
      <c r="AK146" s="34"/>
      <c r="AL146" s="32"/>
      <c r="AM146" s="21"/>
      <c r="AN146" s="34"/>
      <c r="AO146" s="34"/>
      <c r="AP146" s="34"/>
      <c r="AQ146" s="34"/>
      <c r="AR146" s="34"/>
      <c r="AS146" s="34" t="str">
        <f>IF(AB146&lt;&gt;"",AB146+IF(#REF!&lt;&gt;"",#REF!,0)+IF(AQ146&lt;&gt;"",AQ146,0)+IF(AR146&lt;&gt;"",AR146,0),"")</f>
        <v/>
      </c>
      <c r="AT146" s="34"/>
      <c r="AU146" s="34" t="str">
        <f t="shared" si="24"/>
        <v/>
      </c>
      <c r="AV146" s="21"/>
      <c r="AW146" s="21"/>
      <c r="AX146" s="21"/>
      <c r="AY146" s="21"/>
      <c r="AZ146" s="21"/>
    </row>
    <row r="147" spans="1:52" ht="21.75" customHeight="1" x14ac:dyDescent="0.35">
      <c r="A147" s="18">
        <f t="shared" si="20"/>
        <v>143</v>
      </c>
      <c r="B147" s="19"/>
      <c r="C147" s="27"/>
      <c r="D147" s="2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28"/>
      <c r="S147" s="28"/>
      <c r="T147" s="29" t="str">
        <f t="shared" si="21"/>
        <v/>
      </c>
      <c r="U147" s="19"/>
      <c r="V147" s="19"/>
      <c r="W147" s="19"/>
      <c r="X147" s="19"/>
      <c r="Y147" s="18" t="s">
        <v>408</v>
      </c>
      <c r="Z147" s="30"/>
      <c r="AA147" s="30" t="str">
        <f t="shared" si="22"/>
        <v/>
      </c>
      <c r="AB147" s="30" t="str">
        <f t="shared" si="23"/>
        <v/>
      </c>
      <c r="AC147" s="30"/>
      <c r="AD147" s="28"/>
      <c r="AE147" s="28"/>
      <c r="AF147" s="28"/>
      <c r="AG147" s="28"/>
      <c r="AH147" s="28"/>
      <c r="AI147" s="28"/>
      <c r="AJ147" s="28"/>
      <c r="AK147" s="30"/>
      <c r="AL147" s="28"/>
      <c r="AM147" s="19"/>
      <c r="AN147" s="30"/>
      <c r="AO147" s="30"/>
      <c r="AP147" s="30"/>
      <c r="AQ147" s="30"/>
      <c r="AR147" s="30"/>
      <c r="AS147" s="30" t="str">
        <f>IF(AB147&lt;&gt;"",AB147+IF(#REF!&lt;&gt;"",#REF!,0)+IF(AQ147&lt;&gt;"",AQ147,0)+IF(AR147&lt;&gt;"",AR147,0),"")</f>
        <v/>
      </c>
      <c r="AT147" s="30"/>
      <c r="AU147" s="30" t="str">
        <f t="shared" si="24"/>
        <v/>
      </c>
      <c r="AV147" s="19"/>
      <c r="AW147" s="19"/>
      <c r="AX147" s="19"/>
      <c r="AY147" s="19"/>
      <c r="AZ147" s="19"/>
    </row>
    <row r="148" spans="1:52" ht="21.75" customHeight="1" x14ac:dyDescent="0.35">
      <c r="A148" s="20">
        <f t="shared" si="20"/>
        <v>144</v>
      </c>
      <c r="B148" s="21"/>
      <c r="C148" s="31"/>
      <c r="D148" s="23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32"/>
      <c r="S148" s="32"/>
      <c r="T148" s="33" t="str">
        <f t="shared" si="21"/>
        <v/>
      </c>
      <c r="U148" s="21"/>
      <c r="V148" s="21"/>
      <c r="W148" s="21"/>
      <c r="X148" s="21"/>
      <c r="Y148" s="20" t="s">
        <v>408</v>
      </c>
      <c r="Z148" s="34"/>
      <c r="AA148" s="34" t="str">
        <f t="shared" si="22"/>
        <v/>
      </c>
      <c r="AB148" s="34" t="str">
        <f t="shared" si="23"/>
        <v/>
      </c>
      <c r="AC148" s="34"/>
      <c r="AD148" s="32"/>
      <c r="AE148" s="32"/>
      <c r="AF148" s="32"/>
      <c r="AG148" s="32"/>
      <c r="AH148" s="32"/>
      <c r="AI148" s="32"/>
      <c r="AJ148" s="32"/>
      <c r="AK148" s="34"/>
      <c r="AL148" s="32"/>
      <c r="AM148" s="21"/>
      <c r="AN148" s="34"/>
      <c r="AO148" s="34"/>
      <c r="AP148" s="34"/>
      <c r="AQ148" s="34"/>
      <c r="AR148" s="34"/>
      <c r="AS148" s="34" t="str">
        <f>IF(AB148&lt;&gt;"",AB148+IF(#REF!&lt;&gt;"",#REF!,0)+IF(AQ148&lt;&gt;"",AQ148,0)+IF(AR148&lt;&gt;"",AR148,0),"")</f>
        <v/>
      </c>
      <c r="AT148" s="34"/>
      <c r="AU148" s="34" t="str">
        <f t="shared" si="24"/>
        <v/>
      </c>
      <c r="AV148" s="21"/>
      <c r="AW148" s="21"/>
      <c r="AX148" s="21"/>
      <c r="AY148" s="21"/>
      <c r="AZ148" s="21"/>
    </row>
    <row r="149" spans="1:52" ht="21.75" customHeight="1" x14ac:dyDescent="0.35">
      <c r="A149" s="18">
        <f t="shared" si="20"/>
        <v>145</v>
      </c>
      <c r="B149" s="19"/>
      <c r="C149" s="27"/>
      <c r="D149" s="2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28"/>
      <c r="S149" s="28"/>
      <c r="T149" s="29" t="str">
        <f t="shared" si="21"/>
        <v/>
      </c>
      <c r="U149" s="19"/>
      <c r="V149" s="19"/>
      <c r="W149" s="19"/>
      <c r="X149" s="19"/>
      <c r="Y149" s="18" t="s">
        <v>408</v>
      </c>
      <c r="Z149" s="30"/>
      <c r="AA149" s="30" t="str">
        <f t="shared" si="22"/>
        <v/>
      </c>
      <c r="AB149" s="30" t="str">
        <f t="shared" si="23"/>
        <v/>
      </c>
      <c r="AC149" s="30"/>
      <c r="AD149" s="28"/>
      <c r="AE149" s="28"/>
      <c r="AF149" s="28"/>
      <c r="AG149" s="28"/>
      <c r="AH149" s="28"/>
      <c r="AI149" s="28"/>
      <c r="AJ149" s="28"/>
      <c r="AK149" s="30"/>
      <c r="AL149" s="28"/>
      <c r="AM149" s="19"/>
      <c r="AN149" s="30"/>
      <c r="AO149" s="30"/>
      <c r="AP149" s="30"/>
      <c r="AQ149" s="30"/>
      <c r="AR149" s="30"/>
      <c r="AS149" s="30" t="str">
        <f>IF(AB149&lt;&gt;"",AB149+IF(#REF!&lt;&gt;"",#REF!,0)+IF(AQ149&lt;&gt;"",AQ149,0)+IF(AR149&lt;&gt;"",AR149,0),"")</f>
        <v/>
      </c>
      <c r="AT149" s="30"/>
      <c r="AU149" s="30" t="str">
        <f t="shared" si="24"/>
        <v/>
      </c>
      <c r="AV149" s="19"/>
      <c r="AW149" s="19"/>
      <c r="AX149" s="19"/>
      <c r="AY149" s="19"/>
      <c r="AZ149" s="19"/>
    </row>
    <row r="150" spans="1:52" ht="21.75" customHeight="1" x14ac:dyDescent="0.35">
      <c r="A150" s="20">
        <f t="shared" si="20"/>
        <v>146</v>
      </c>
      <c r="B150" s="21"/>
      <c r="C150" s="31"/>
      <c r="D150" s="23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32"/>
      <c r="S150" s="32"/>
      <c r="T150" s="33" t="str">
        <f t="shared" si="21"/>
        <v/>
      </c>
      <c r="U150" s="21"/>
      <c r="V150" s="21"/>
      <c r="W150" s="21"/>
      <c r="X150" s="21"/>
      <c r="Y150" s="20" t="s">
        <v>408</v>
      </c>
      <c r="Z150" s="34"/>
      <c r="AA150" s="34" t="str">
        <f t="shared" si="22"/>
        <v/>
      </c>
      <c r="AB150" s="34" t="str">
        <f t="shared" si="23"/>
        <v/>
      </c>
      <c r="AC150" s="34"/>
      <c r="AD150" s="32"/>
      <c r="AE150" s="32"/>
      <c r="AF150" s="32"/>
      <c r="AG150" s="32"/>
      <c r="AH150" s="32"/>
      <c r="AI150" s="32"/>
      <c r="AJ150" s="32"/>
      <c r="AK150" s="34"/>
      <c r="AL150" s="32"/>
      <c r="AM150" s="21"/>
      <c r="AN150" s="34"/>
      <c r="AO150" s="34"/>
      <c r="AP150" s="34"/>
      <c r="AQ150" s="34"/>
      <c r="AR150" s="34"/>
      <c r="AS150" s="34" t="str">
        <f>IF(AB150&lt;&gt;"",AB150+IF(#REF!&lt;&gt;"",#REF!,0)+IF(AQ150&lt;&gt;"",AQ150,0)+IF(AR150&lt;&gt;"",AR150,0),"")</f>
        <v/>
      </c>
      <c r="AT150" s="34"/>
      <c r="AU150" s="34" t="str">
        <f t="shared" si="24"/>
        <v/>
      </c>
      <c r="AV150" s="21"/>
      <c r="AW150" s="21"/>
      <c r="AX150" s="21"/>
      <c r="AY150" s="21"/>
      <c r="AZ150" s="21"/>
    </row>
    <row r="151" spans="1:52" ht="21.75" customHeight="1" x14ac:dyDescent="0.35">
      <c r="A151" s="18">
        <f t="shared" si="20"/>
        <v>147</v>
      </c>
      <c r="B151" s="19"/>
      <c r="C151" s="27"/>
      <c r="D151" s="24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28"/>
      <c r="S151" s="28"/>
      <c r="T151" s="29" t="str">
        <f t="shared" si="21"/>
        <v/>
      </c>
      <c r="U151" s="19"/>
      <c r="V151" s="19"/>
      <c r="W151" s="19"/>
      <c r="X151" s="19"/>
      <c r="Y151" s="18" t="s">
        <v>408</v>
      </c>
      <c r="Z151" s="30"/>
      <c r="AA151" s="30" t="str">
        <f t="shared" si="22"/>
        <v/>
      </c>
      <c r="AB151" s="30" t="str">
        <f t="shared" si="23"/>
        <v/>
      </c>
      <c r="AC151" s="30"/>
      <c r="AD151" s="28"/>
      <c r="AE151" s="28"/>
      <c r="AF151" s="28"/>
      <c r="AG151" s="28"/>
      <c r="AH151" s="28"/>
      <c r="AI151" s="28"/>
      <c r="AJ151" s="28"/>
      <c r="AK151" s="30"/>
      <c r="AL151" s="28"/>
      <c r="AM151" s="19"/>
      <c r="AN151" s="30"/>
      <c r="AO151" s="30"/>
      <c r="AP151" s="30"/>
      <c r="AQ151" s="30"/>
      <c r="AR151" s="30"/>
      <c r="AS151" s="30" t="str">
        <f>IF(AB151&lt;&gt;"",AB151+IF(#REF!&lt;&gt;"",#REF!,0)+IF(AQ151&lt;&gt;"",AQ151,0)+IF(AR151&lt;&gt;"",AR151,0),"")</f>
        <v/>
      </c>
      <c r="AT151" s="30"/>
      <c r="AU151" s="30" t="str">
        <f t="shared" si="24"/>
        <v/>
      </c>
      <c r="AV151" s="19"/>
      <c r="AW151" s="19"/>
      <c r="AX151" s="19"/>
      <c r="AY151" s="19"/>
      <c r="AZ151" s="19"/>
    </row>
    <row r="152" spans="1:52" ht="21.75" customHeight="1" x14ac:dyDescent="0.35">
      <c r="A152" s="20">
        <f t="shared" si="20"/>
        <v>148</v>
      </c>
      <c r="B152" s="21"/>
      <c r="C152" s="31"/>
      <c r="D152" s="23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32"/>
      <c r="S152" s="32"/>
      <c r="T152" s="33" t="str">
        <f t="shared" si="21"/>
        <v/>
      </c>
      <c r="U152" s="21"/>
      <c r="V152" s="21"/>
      <c r="W152" s="21"/>
      <c r="X152" s="21"/>
      <c r="Y152" s="20" t="s">
        <v>408</v>
      </c>
      <c r="Z152" s="34"/>
      <c r="AA152" s="34" t="str">
        <f t="shared" si="22"/>
        <v/>
      </c>
      <c r="AB152" s="34" t="str">
        <f t="shared" si="23"/>
        <v/>
      </c>
      <c r="AC152" s="34"/>
      <c r="AD152" s="32"/>
      <c r="AE152" s="32"/>
      <c r="AF152" s="32"/>
      <c r="AG152" s="32"/>
      <c r="AH152" s="32"/>
      <c r="AI152" s="32"/>
      <c r="AJ152" s="32"/>
      <c r="AK152" s="34"/>
      <c r="AL152" s="32"/>
      <c r="AM152" s="21"/>
      <c r="AN152" s="34"/>
      <c r="AO152" s="34"/>
      <c r="AP152" s="34"/>
      <c r="AQ152" s="34"/>
      <c r="AR152" s="34"/>
      <c r="AS152" s="34" t="str">
        <f>IF(AB152&lt;&gt;"",AB152+IF(#REF!&lt;&gt;"",#REF!,0)+IF(AQ152&lt;&gt;"",AQ152,0)+IF(AR152&lt;&gt;"",AR152,0),"")</f>
        <v/>
      </c>
      <c r="AT152" s="34"/>
      <c r="AU152" s="34" t="str">
        <f t="shared" si="24"/>
        <v/>
      </c>
      <c r="AV152" s="21"/>
      <c r="AW152" s="21"/>
      <c r="AX152" s="21"/>
      <c r="AY152" s="21"/>
      <c r="AZ152" s="21"/>
    </row>
    <row r="153" spans="1:52" ht="21.75" customHeight="1" x14ac:dyDescent="0.35">
      <c r="A153" s="18">
        <f t="shared" si="20"/>
        <v>149</v>
      </c>
      <c r="B153" s="19"/>
      <c r="C153" s="27"/>
      <c r="D153" s="24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28"/>
      <c r="S153" s="28"/>
      <c r="T153" s="29" t="str">
        <f t="shared" si="21"/>
        <v/>
      </c>
      <c r="U153" s="19"/>
      <c r="V153" s="19"/>
      <c r="W153" s="19"/>
      <c r="X153" s="19"/>
      <c r="Y153" s="18" t="s">
        <v>408</v>
      </c>
      <c r="Z153" s="30"/>
      <c r="AA153" s="30" t="str">
        <f t="shared" si="22"/>
        <v/>
      </c>
      <c r="AB153" s="30" t="str">
        <f t="shared" si="23"/>
        <v/>
      </c>
      <c r="AC153" s="30"/>
      <c r="AD153" s="28"/>
      <c r="AE153" s="28"/>
      <c r="AF153" s="28"/>
      <c r="AG153" s="28"/>
      <c r="AH153" s="28"/>
      <c r="AI153" s="28"/>
      <c r="AJ153" s="28"/>
      <c r="AK153" s="30"/>
      <c r="AL153" s="28"/>
      <c r="AM153" s="19"/>
      <c r="AN153" s="30"/>
      <c r="AO153" s="30"/>
      <c r="AP153" s="30"/>
      <c r="AQ153" s="30"/>
      <c r="AR153" s="30"/>
      <c r="AS153" s="30" t="str">
        <f>IF(AB153&lt;&gt;"",AB153+IF(#REF!&lt;&gt;"",#REF!,0)+IF(AQ153&lt;&gt;"",AQ153,0)+IF(AR153&lt;&gt;"",AR153,0),"")</f>
        <v/>
      </c>
      <c r="AT153" s="30"/>
      <c r="AU153" s="30" t="str">
        <f t="shared" si="24"/>
        <v/>
      </c>
      <c r="AV153" s="19"/>
      <c r="AW153" s="19"/>
      <c r="AX153" s="19"/>
      <c r="AY153" s="19"/>
      <c r="AZ153" s="19"/>
    </row>
    <row r="154" spans="1:52" ht="21.75" customHeight="1" x14ac:dyDescent="0.35">
      <c r="A154" s="20">
        <f t="shared" si="20"/>
        <v>150</v>
      </c>
      <c r="B154" s="21"/>
      <c r="C154" s="31"/>
      <c r="D154" s="23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32"/>
      <c r="S154" s="32"/>
      <c r="T154" s="33" t="str">
        <f t="shared" si="21"/>
        <v/>
      </c>
      <c r="U154" s="21"/>
      <c r="V154" s="21"/>
      <c r="W154" s="21"/>
      <c r="X154" s="21"/>
      <c r="Y154" s="20" t="s">
        <v>408</v>
      </c>
      <c r="Z154" s="34"/>
      <c r="AA154" s="34" t="str">
        <f t="shared" si="22"/>
        <v/>
      </c>
      <c r="AB154" s="34" t="str">
        <f t="shared" si="23"/>
        <v/>
      </c>
      <c r="AC154" s="34"/>
      <c r="AD154" s="32"/>
      <c r="AE154" s="32"/>
      <c r="AF154" s="32"/>
      <c r="AG154" s="32"/>
      <c r="AH154" s="32"/>
      <c r="AI154" s="32"/>
      <c r="AJ154" s="32"/>
      <c r="AK154" s="34"/>
      <c r="AL154" s="32"/>
      <c r="AM154" s="21"/>
      <c r="AN154" s="34"/>
      <c r="AO154" s="34"/>
      <c r="AP154" s="34"/>
      <c r="AQ154" s="34"/>
      <c r="AR154" s="34"/>
      <c r="AS154" s="34" t="str">
        <f>IF(AB154&lt;&gt;"",AB154+IF(#REF!&lt;&gt;"",#REF!,0)+IF(AQ154&lt;&gt;"",AQ154,0)+IF(AR154&lt;&gt;"",AR154,0),"")</f>
        <v/>
      </c>
      <c r="AT154" s="34"/>
      <c r="AU154" s="34" t="str">
        <f t="shared" si="24"/>
        <v/>
      </c>
      <c r="AV154" s="21"/>
      <c r="AW154" s="21"/>
      <c r="AX154" s="21"/>
      <c r="AY154" s="21"/>
      <c r="AZ154" s="21"/>
    </row>
    <row r="155" spans="1:52" ht="21.75" customHeight="1" x14ac:dyDescent="0.35">
      <c r="A155" s="18">
        <f t="shared" si="20"/>
        <v>151</v>
      </c>
      <c r="B155" s="19"/>
      <c r="C155" s="27"/>
      <c r="D155" s="24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28"/>
      <c r="S155" s="28"/>
      <c r="T155" s="29" t="str">
        <f t="shared" si="21"/>
        <v/>
      </c>
      <c r="U155" s="19"/>
      <c r="V155" s="19"/>
      <c r="W155" s="19"/>
      <c r="X155" s="19"/>
      <c r="Y155" s="18" t="s">
        <v>408</v>
      </c>
      <c r="Z155" s="30"/>
      <c r="AA155" s="30" t="str">
        <f t="shared" si="22"/>
        <v/>
      </c>
      <c r="AB155" s="30" t="str">
        <f t="shared" si="23"/>
        <v/>
      </c>
      <c r="AC155" s="30"/>
      <c r="AD155" s="28"/>
      <c r="AE155" s="28"/>
      <c r="AF155" s="28"/>
      <c r="AG155" s="28"/>
      <c r="AH155" s="28"/>
      <c r="AI155" s="28"/>
      <c r="AJ155" s="28"/>
      <c r="AK155" s="30"/>
      <c r="AL155" s="28"/>
      <c r="AM155" s="19"/>
      <c r="AN155" s="30"/>
      <c r="AO155" s="30"/>
      <c r="AP155" s="30"/>
      <c r="AQ155" s="30"/>
      <c r="AR155" s="30"/>
      <c r="AS155" s="30" t="str">
        <f>IF(AB155&lt;&gt;"",AB155+IF(#REF!&lt;&gt;"",#REF!,0)+IF(AQ155&lt;&gt;"",AQ155,0)+IF(AR155&lt;&gt;"",AR155,0),"")</f>
        <v/>
      </c>
      <c r="AT155" s="30"/>
      <c r="AU155" s="30" t="str">
        <f t="shared" si="24"/>
        <v/>
      </c>
      <c r="AV155" s="19"/>
      <c r="AW155" s="19"/>
      <c r="AX155" s="19"/>
      <c r="AY155" s="19"/>
      <c r="AZ155" s="19"/>
    </row>
    <row r="156" spans="1:52" ht="21.75" customHeight="1" x14ac:dyDescent="0.35">
      <c r="A156" s="20">
        <f t="shared" si="20"/>
        <v>152</v>
      </c>
      <c r="B156" s="21"/>
      <c r="C156" s="31"/>
      <c r="D156" s="23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32"/>
      <c r="S156" s="32"/>
      <c r="T156" s="33" t="str">
        <f t="shared" si="21"/>
        <v/>
      </c>
      <c r="U156" s="21"/>
      <c r="V156" s="21"/>
      <c r="W156" s="21"/>
      <c r="X156" s="21"/>
      <c r="Y156" s="20" t="s">
        <v>408</v>
      </c>
      <c r="Z156" s="34"/>
      <c r="AA156" s="34" t="str">
        <f t="shared" si="22"/>
        <v/>
      </c>
      <c r="AB156" s="34" t="str">
        <f t="shared" si="23"/>
        <v/>
      </c>
      <c r="AC156" s="34"/>
      <c r="AD156" s="32"/>
      <c r="AE156" s="32"/>
      <c r="AF156" s="32"/>
      <c r="AG156" s="32"/>
      <c r="AH156" s="32"/>
      <c r="AI156" s="32"/>
      <c r="AJ156" s="32"/>
      <c r="AK156" s="34"/>
      <c r="AL156" s="32"/>
      <c r="AM156" s="21"/>
      <c r="AN156" s="34"/>
      <c r="AO156" s="34"/>
      <c r="AP156" s="34"/>
      <c r="AQ156" s="34"/>
      <c r="AR156" s="34"/>
      <c r="AS156" s="34" t="str">
        <f>IF(AB156&lt;&gt;"",AB156+IF(#REF!&lt;&gt;"",#REF!,0)+IF(AQ156&lt;&gt;"",AQ156,0)+IF(AR156&lt;&gt;"",AR156,0),"")</f>
        <v/>
      </c>
      <c r="AT156" s="34"/>
      <c r="AU156" s="34" t="str">
        <f t="shared" si="24"/>
        <v/>
      </c>
      <c r="AV156" s="21"/>
      <c r="AW156" s="21"/>
      <c r="AX156" s="21"/>
      <c r="AY156" s="21"/>
      <c r="AZ156" s="21"/>
    </row>
    <row r="157" spans="1:52" ht="21.75" customHeight="1" x14ac:dyDescent="0.35">
      <c r="A157" s="18">
        <f t="shared" si="20"/>
        <v>153</v>
      </c>
      <c r="B157" s="19"/>
      <c r="C157" s="27"/>
      <c r="D157" s="24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28"/>
      <c r="S157" s="28"/>
      <c r="T157" s="29" t="str">
        <f t="shared" si="21"/>
        <v/>
      </c>
      <c r="U157" s="19"/>
      <c r="V157" s="19"/>
      <c r="W157" s="19"/>
      <c r="X157" s="19"/>
      <c r="Y157" s="18" t="s">
        <v>408</v>
      </c>
      <c r="Z157" s="30"/>
      <c r="AA157" s="30" t="str">
        <f t="shared" si="22"/>
        <v/>
      </c>
      <c r="AB157" s="30" t="str">
        <f t="shared" si="23"/>
        <v/>
      </c>
      <c r="AC157" s="30"/>
      <c r="AD157" s="28"/>
      <c r="AE157" s="28"/>
      <c r="AF157" s="28"/>
      <c r="AG157" s="28"/>
      <c r="AH157" s="28"/>
      <c r="AI157" s="28"/>
      <c r="AJ157" s="28"/>
      <c r="AK157" s="30"/>
      <c r="AL157" s="28"/>
      <c r="AM157" s="19"/>
      <c r="AN157" s="30"/>
      <c r="AO157" s="30"/>
      <c r="AP157" s="30"/>
      <c r="AQ157" s="30"/>
      <c r="AR157" s="30"/>
      <c r="AS157" s="30" t="str">
        <f>IF(AB157&lt;&gt;"",AB157+IF(#REF!&lt;&gt;"",#REF!,0)+IF(AQ157&lt;&gt;"",AQ157,0)+IF(AR157&lt;&gt;"",AR157,0),"")</f>
        <v/>
      </c>
      <c r="AT157" s="30"/>
      <c r="AU157" s="30" t="str">
        <f t="shared" si="24"/>
        <v/>
      </c>
      <c r="AV157" s="19"/>
      <c r="AW157" s="19"/>
      <c r="AX157" s="19"/>
      <c r="AY157" s="19"/>
      <c r="AZ157" s="19"/>
    </row>
    <row r="158" spans="1:52" ht="21.75" customHeight="1" x14ac:dyDescent="0.35">
      <c r="A158" s="20">
        <f t="shared" si="20"/>
        <v>154</v>
      </c>
      <c r="B158" s="21"/>
      <c r="C158" s="31"/>
      <c r="D158" s="23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32"/>
      <c r="S158" s="32"/>
      <c r="T158" s="33" t="str">
        <f t="shared" si="21"/>
        <v/>
      </c>
      <c r="U158" s="21"/>
      <c r="V158" s="21"/>
      <c r="W158" s="21"/>
      <c r="X158" s="21"/>
      <c r="Y158" s="20" t="s">
        <v>408</v>
      </c>
      <c r="Z158" s="34"/>
      <c r="AA158" s="34" t="str">
        <f t="shared" si="22"/>
        <v/>
      </c>
      <c r="AB158" s="34" t="str">
        <f t="shared" si="23"/>
        <v/>
      </c>
      <c r="AC158" s="34"/>
      <c r="AD158" s="32"/>
      <c r="AE158" s="32"/>
      <c r="AF158" s="32"/>
      <c r="AG158" s="32"/>
      <c r="AH158" s="32"/>
      <c r="AI158" s="32"/>
      <c r="AJ158" s="32"/>
      <c r="AK158" s="34"/>
      <c r="AL158" s="32"/>
      <c r="AM158" s="21"/>
      <c r="AN158" s="34"/>
      <c r="AO158" s="34"/>
      <c r="AP158" s="34"/>
      <c r="AQ158" s="34"/>
      <c r="AR158" s="34"/>
      <c r="AS158" s="34" t="str">
        <f>IF(AB158&lt;&gt;"",AB158+IF(#REF!&lt;&gt;"",#REF!,0)+IF(AQ158&lt;&gt;"",AQ158,0)+IF(AR158&lt;&gt;"",AR158,0),"")</f>
        <v/>
      </c>
      <c r="AT158" s="34"/>
      <c r="AU158" s="34" t="str">
        <f t="shared" si="24"/>
        <v/>
      </c>
      <c r="AV158" s="21"/>
      <c r="AW158" s="21"/>
      <c r="AX158" s="21"/>
      <c r="AY158" s="21"/>
      <c r="AZ158" s="21"/>
    </row>
    <row r="159" spans="1:52" ht="21.75" customHeight="1" x14ac:dyDescent="0.35">
      <c r="A159" s="18">
        <f t="shared" si="20"/>
        <v>155</v>
      </c>
      <c r="B159" s="19"/>
      <c r="C159" s="27"/>
      <c r="D159" s="2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28"/>
      <c r="S159" s="28"/>
      <c r="T159" s="29" t="str">
        <f t="shared" si="21"/>
        <v/>
      </c>
      <c r="U159" s="19"/>
      <c r="V159" s="19"/>
      <c r="W159" s="19"/>
      <c r="X159" s="19"/>
      <c r="Y159" s="18" t="s">
        <v>408</v>
      </c>
      <c r="Z159" s="30"/>
      <c r="AA159" s="30" t="str">
        <f t="shared" si="22"/>
        <v/>
      </c>
      <c r="AB159" s="30" t="str">
        <f t="shared" si="23"/>
        <v/>
      </c>
      <c r="AC159" s="30"/>
      <c r="AD159" s="28"/>
      <c r="AE159" s="28"/>
      <c r="AF159" s="28"/>
      <c r="AG159" s="28"/>
      <c r="AH159" s="28"/>
      <c r="AI159" s="28"/>
      <c r="AJ159" s="28"/>
      <c r="AK159" s="30"/>
      <c r="AL159" s="28"/>
      <c r="AM159" s="19"/>
      <c r="AN159" s="30"/>
      <c r="AO159" s="30"/>
      <c r="AP159" s="30"/>
      <c r="AQ159" s="30"/>
      <c r="AR159" s="30"/>
      <c r="AS159" s="30" t="str">
        <f>IF(AB159&lt;&gt;"",AB159+IF(#REF!&lt;&gt;"",#REF!,0)+IF(AQ159&lt;&gt;"",AQ159,0)+IF(AR159&lt;&gt;"",AR159,0),"")</f>
        <v/>
      </c>
      <c r="AT159" s="30"/>
      <c r="AU159" s="30" t="str">
        <f t="shared" si="24"/>
        <v/>
      </c>
      <c r="AV159" s="19"/>
      <c r="AW159" s="19"/>
      <c r="AX159" s="19"/>
      <c r="AY159" s="19"/>
      <c r="AZ159" s="19"/>
    </row>
    <row r="160" spans="1:52" ht="21.75" customHeight="1" x14ac:dyDescent="0.35">
      <c r="A160" s="20">
        <f t="shared" si="20"/>
        <v>156</v>
      </c>
      <c r="B160" s="21"/>
      <c r="C160" s="31"/>
      <c r="D160" s="23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32"/>
      <c r="S160" s="32"/>
      <c r="T160" s="33" t="str">
        <f t="shared" si="21"/>
        <v/>
      </c>
      <c r="U160" s="21"/>
      <c r="V160" s="21"/>
      <c r="W160" s="21"/>
      <c r="X160" s="21"/>
      <c r="Y160" s="20" t="s">
        <v>408</v>
      </c>
      <c r="Z160" s="34"/>
      <c r="AA160" s="34" t="str">
        <f t="shared" si="22"/>
        <v/>
      </c>
      <c r="AB160" s="34" t="str">
        <f t="shared" si="23"/>
        <v/>
      </c>
      <c r="AC160" s="34"/>
      <c r="AD160" s="32"/>
      <c r="AE160" s="32"/>
      <c r="AF160" s="32"/>
      <c r="AG160" s="32"/>
      <c r="AH160" s="32"/>
      <c r="AI160" s="32"/>
      <c r="AJ160" s="32"/>
      <c r="AK160" s="34"/>
      <c r="AL160" s="32"/>
      <c r="AM160" s="21"/>
      <c r="AN160" s="34"/>
      <c r="AO160" s="34"/>
      <c r="AP160" s="34"/>
      <c r="AQ160" s="34"/>
      <c r="AR160" s="34"/>
      <c r="AS160" s="34" t="str">
        <f>IF(AB160&lt;&gt;"",AB160+IF(#REF!&lt;&gt;"",#REF!,0)+IF(AQ160&lt;&gt;"",AQ160,0)+IF(AR160&lt;&gt;"",AR160,0),"")</f>
        <v/>
      </c>
      <c r="AT160" s="34"/>
      <c r="AU160" s="34" t="str">
        <f t="shared" si="24"/>
        <v/>
      </c>
      <c r="AV160" s="21"/>
      <c r="AW160" s="21"/>
      <c r="AX160" s="21"/>
      <c r="AY160" s="21"/>
      <c r="AZ160" s="21"/>
    </row>
    <row r="161" spans="1:52" ht="21.75" customHeight="1" x14ac:dyDescent="0.35">
      <c r="A161" s="18">
        <f t="shared" si="20"/>
        <v>157</v>
      </c>
      <c r="B161" s="19"/>
      <c r="C161" s="27"/>
      <c r="D161" s="2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28"/>
      <c r="S161" s="28"/>
      <c r="T161" s="29" t="str">
        <f t="shared" si="21"/>
        <v/>
      </c>
      <c r="U161" s="19"/>
      <c r="V161" s="19"/>
      <c r="W161" s="19"/>
      <c r="X161" s="19"/>
      <c r="Y161" s="18" t="s">
        <v>408</v>
      </c>
      <c r="Z161" s="30"/>
      <c r="AA161" s="30" t="str">
        <f t="shared" si="22"/>
        <v/>
      </c>
      <c r="AB161" s="30" t="str">
        <f t="shared" si="23"/>
        <v/>
      </c>
      <c r="AC161" s="30"/>
      <c r="AD161" s="28"/>
      <c r="AE161" s="28"/>
      <c r="AF161" s="28"/>
      <c r="AG161" s="28"/>
      <c r="AH161" s="28"/>
      <c r="AI161" s="28"/>
      <c r="AJ161" s="28"/>
      <c r="AK161" s="30"/>
      <c r="AL161" s="28"/>
      <c r="AM161" s="19"/>
      <c r="AN161" s="30"/>
      <c r="AO161" s="30"/>
      <c r="AP161" s="30"/>
      <c r="AQ161" s="30"/>
      <c r="AR161" s="30"/>
      <c r="AS161" s="30" t="str">
        <f>IF(AB161&lt;&gt;"",AB161+IF(#REF!&lt;&gt;"",#REF!,0)+IF(AQ161&lt;&gt;"",AQ161,0)+IF(AR161&lt;&gt;"",AR161,0),"")</f>
        <v/>
      </c>
      <c r="AT161" s="30"/>
      <c r="AU161" s="30" t="str">
        <f t="shared" si="24"/>
        <v/>
      </c>
      <c r="AV161" s="19"/>
      <c r="AW161" s="19"/>
      <c r="AX161" s="19"/>
      <c r="AY161" s="19"/>
      <c r="AZ161" s="19"/>
    </row>
    <row r="162" spans="1:52" ht="21.75" customHeight="1" x14ac:dyDescent="0.35">
      <c r="A162" s="20">
        <f t="shared" si="20"/>
        <v>158</v>
      </c>
      <c r="B162" s="21"/>
      <c r="C162" s="31"/>
      <c r="D162" s="23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32"/>
      <c r="S162" s="32"/>
      <c r="T162" s="33" t="str">
        <f t="shared" si="21"/>
        <v/>
      </c>
      <c r="U162" s="21"/>
      <c r="V162" s="21"/>
      <c r="W162" s="21"/>
      <c r="X162" s="21"/>
      <c r="Y162" s="20" t="s">
        <v>408</v>
      </c>
      <c r="Z162" s="34"/>
      <c r="AA162" s="34" t="str">
        <f t="shared" si="22"/>
        <v/>
      </c>
      <c r="AB162" s="34" t="str">
        <f t="shared" si="23"/>
        <v/>
      </c>
      <c r="AC162" s="34"/>
      <c r="AD162" s="32"/>
      <c r="AE162" s="32"/>
      <c r="AF162" s="32"/>
      <c r="AG162" s="32"/>
      <c r="AH162" s="32"/>
      <c r="AI162" s="32"/>
      <c r="AJ162" s="32"/>
      <c r="AK162" s="34"/>
      <c r="AL162" s="32"/>
      <c r="AM162" s="21"/>
      <c r="AN162" s="34"/>
      <c r="AO162" s="34"/>
      <c r="AP162" s="34"/>
      <c r="AQ162" s="34"/>
      <c r="AR162" s="34"/>
      <c r="AS162" s="34" t="str">
        <f>IF(AB162&lt;&gt;"",AB162+IF(#REF!&lt;&gt;"",#REF!,0)+IF(AQ162&lt;&gt;"",AQ162,0)+IF(AR162&lt;&gt;"",AR162,0),"")</f>
        <v/>
      </c>
      <c r="AT162" s="34"/>
      <c r="AU162" s="34" t="str">
        <f t="shared" si="24"/>
        <v/>
      </c>
      <c r="AV162" s="21"/>
      <c r="AW162" s="21"/>
      <c r="AX162" s="21"/>
      <c r="AY162" s="21"/>
      <c r="AZ162" s="21"/>
    </row>
    <row r="163" spans="1:52" ht="21.75" customHeight="1" x14ac:dyDescent="0.35">
      <c r="A163" s="18">
        <f t="shared" si="20"/>
        <v>159</v>
      </c>
      <c r="B163" s="19"/>
      <c r="C163" s="27"/>
      <c r="D163" s="24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28"/>
      <c r="S163" s="28"/>
      <c r="T163" s="29" t="str">
        <f t="shared" si="21"/>
        <v/>
      </c>
      <c r="U163" s="19"/>
      <c r="V163" s="19"/>
      <c r="W163" s="19"/>
      <c r="X163" s="19"/>
      <c r="Y163" s="18" t="s">
        <v>408</v>
      </c>
      <c r="Z163" s="30"/>
      <c r="AA163" s="30" t="str">
        <f t="shared" si="22"/>
        <v/>
      </c>
      <c r="AB163" s="30" t="str">
        <f t="shared" si="23"/>
        <v/>
      </c>
      <c r="AC163" s="30"/>
      <c r="AD163" s="28"/>
      <c r="AE163" s="28"/>
      <c r="AF163" s="28"/>
      <c r="AG163" s="28"/>
      <c r="AH163" s="28"/>
      <c r="AI163" s="28"/>
      <c r="AJ163" s="28"/>
      <c r="AK163" s="30"/>
      <c r="AL163" s="28"/>
      <c r="AM163" s="19"/>
      <c r="AN163" s="30"/>
      <c r="AO163" s="30"/>
      <c r="AP163" s="30"/>
      <c r="AQ163" s="30"/>
      <c r="AR163" s="30"/>
      <c r="AS163" s="30" t="str">
        <f>IF(AB163&lt;&gt;"",AB163+IF(#REF!&lt;&gt;"",#REF!,0)+IF(AQ163&lt;&gt;"",AQ163,0)+IF(AR163&lt;&gt;"",AR163,0),"")</f>
        <v/>
      </c>
      <c r="AT163" s="30"/>
      <c r="AU163" s="30" t="str">
        <f t="shared" si="24"/>
        <v/>
      </c>
      <c r="AV163" s="19"/>
      <c r="AW163" s="19"/>
      <c r="AX163" s="19"/>
      <c r="AY163" s="19"/>
      <c r="AZ163" s="19"/>
    </row>
    <row r="164" spans="1:52" ht="21.75" customHeight="1" x14ac:dyDescent="0.35">
      <c r="A164" s="20">
        <f t="shared" si="20"/>
        <v>160</v>
      </c>
      <c r="B164" s="21"/>
      <c r="C164" s="31"/>
      <c r="D164" s="23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32"/>
      <c r="S164" s="32"/>
      <c r="T164" s="33" t="str">
        <f t="shared" si="21"/>
        <v/>
      </c>
      <c r="U164" s="21"/>
      <c r="V164" s="21"/>
      <c r="W164" s="21"/>
      <c r="X164" s="21"/>
      <c r="Y164" s="20" t="s">
        <v>408</v>
      </c>
      <c r="Z164" s="34"/>
      <c r="AA164" s="34" t="str">
        <f t="shared" si="22"/>
        <v/>
      </c>
      <c r="AB164" s="34" t="str">
        <f t="shared" si="23"/>
        <v/>
      </c>
      <c r="AC164" s="34"/>
      <c r="AD164" s="32"/>
      <c r="AE164" s="32"/>
      <c r="AF164" s="32"/>
      <c r="AG164" s="32"/>
      <c r="AH164" s="32"/>
      <c r="AI164" s="32"/>
      <c r="AJ164" s="32"/>
      <c r="AK164" s="34"/>
      <c r="AL164" s="32"/>
      <c r="AM164" s="21"/>
      <c r="AN164" s="34"/>
      <c r="AO164" s="34"/>
      <c r="AP164" s="34"/>
      <c r="AQ164" s="34"/>
      <c r="AR164" s="34"/>
      <c r="AS164" s="34" t="str">
        <f>IF(AB164&lt;&gt;"",AB164+IF(#REF!&lt;&gt;"",#REF!,0)+IF(AQ164&lt;&gt;"",AQ164,0)+IF(AR164&lt;&gt;"",AR164,0),"")</f>
        <v/>
      </c>
      <c r="AT164" s="34"/>
      <c r="AU164" s="34" t="str">
        <f t="shared" si="24"/>
        <v/>
      </c>
      <c r="AV164" s="21"/>
      <c r="AW164" s="21"/>
      <c r="AX164" s="21"/>
      <c r="AY164" s="21"/>
      <c r="AZ164" s="21"/>
    </row>
    <row r="165" spans="1:52" ht="21.75" customHeight="1" x14ac:dyDescent="0.35">
      <c r="A165" s="18">
        <f t="shared" ref="A165:A196" si="25">ROW()-4</f>
        <v>161</v>
      </c>
      <c r="B165" s="19"/>
      <c r="C165" s="27"/>
      <c r="D165" s="24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28"/>
      <c r="S165" s="28"/>
      <c r="T165" s="29" t="str">
        <f t="shared" ref="T165:T196" si="26">IF(AND(R165&lt;&gt;"",S165&lt;&gt;""),S165-R165,"")</f>
        <v/>
      </c>
      <c r="U165" s="19"/>
      <c r="V165" s="19"/>
      <c r="W165" s="19"/>
      <c r="X165" s="19"/>
      <c r="Y165" s="18" t="s">
        <v>408</v>
      </c>
      <c r="Z165" s="30"/>
      <c r="AA165" s="30" t="str">
        <f t="shared" ref="AA165:AA196" si="27">IF(Z165&lt;&gt;"",ROUND(Z165/30,2),"")</f>
        <v/>
      </c>
      <c r="AB165" s="30" t="str">
        <f t="shared" ref="AB165:AB196" si="28">IF(AND(Z165&lt;&gt;"",T165&lt;&gt;""),ROUND(Z165/30*T165,2),"")</f>
        <v/>
      </c>
      <c r="AC165" s="30"/>
      <c r="AD165" s="28"/>
      <c r="AE165" s="28"/>
      <c r="AF165" s="28"/>
      <c r="AG165" s="28"/>
      <c r="AH165" s="28"/>
      <c r="AI165" s="28"/>
      <c r="AJ165" s="28"/>
      <c r="AK165" s="30"/>
      <c r="AL165" s="28"/>
      <c r="AM165" s="19"/>
      <c r="AN165" s="30"/>
      <c r="AO165" s="30"/>
      <c r="AP165" s="30"/>
      <c r="AQ165" s="30"/>
      <c r="AR165" s="30"/>
      <c r="AS165" s="30" t="str">
        <f>IF(AB165&lt;&gt;"",AB165+IF(#REF!&lt;&gt;"",#REF!,0)+IF(AQ165&lt;&gt;"",AQ165,0)+IF(AR165&lt;&gt;"",AR165,0),"")</f>
        <v/>
      </c>
      <c r="AT165" s="30"/>
      <c r="AU165" s="30" t="str">
        <f t="shared" ref="AU165:AU196" si="29">IF(AS165&lt;&gt;"",AS165-IF(AT165&lt;&gt;"",AT165,0),"")</f>
        <v/>
      </c>
      <c r="AV165" s="19"/>
      <c r="AW165" s="19"/>
      <c r="AX165" s="19"/>
      <c r="AY165" s="19"/>
      <c r="AZ165" s="19"/>
    </row>
    <row r="166" spans="1:52" ht="21.75" customHeight="1" x14ac:dyDescent="0.35">
      <c r="A166" s="20">
        <f t="shared" si="25"/>
        <v>162</v>
      </c>
      <c r="B166" s="21"/>
      <c r="C166" s="31"/>
      <c r="D166" s="23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32"/>
      <c r="S166" s="32"/>
      <c r="T166" s="33" t="str">
        <f t="shared" si="26"/>
        <v/>
      </c>
      <c r="U166" s="21"/>
      <c r="V166" s="21"/>
      <c r="W166" s="21"/>
      <c r="X166" s="21"/>
      <c r="Y166" s="20" t="s">
        <v>408</v>
      </c>
      <c r="Z166" s="34"/>
      <c r="AA166" s="34" t="str">
        <f t="shared" si="27"/>
        <v/>
      </c>
      <c r="AB166" s="34" t="str">
        <f t="shared" si="28"/>
        <v/>
      </c>
      <c r="AC166" s="34"/>
      <c r="AD166" s="32"/>
      <c r="AE166" s="32"/>
      <c r="AF166" s="32"/>
      <c r="AG166" s="32"/>
      <c r="AH166" s="32"/>
      <c r="AI166" s="32"/>
      <c r="AJ166" s="32"/>
      <c r="AK166" s="34"/>
      <c r="AL166" s="32"/>
      <c r="AM166" s="21"/>
      <c r="AN166" s="34"/>
      <c r="AO166" s="34"/>
      <c r="AP166" s="34"/>
      <c r="AQ166" s="34"/>
      <c r="AR166" s="34"/>
      <c r="AS166" s="34" t="str">
        <f>IF(AB166&lt;&gt;"",AB166+IF(#REF!&lt;&gt;"",#REF!,0)+IF(AQ166&lt;&gt;"",AQ166,0)+IF(AR166&lt;&gt;"",AR166,0),"")</f>
        <v/>
      </c>
      <c r="AT166" s="34"/>
      <c r="AU166" s="34" t="str">
        <f t="shared" si="29"/>
        <v/>
      </c>
      <c r="AV166" s="21"/>
      <c r="AW166" s="21"/>
      <c r="AX166" s="21"/>
      <c r="AY166" s="21"/>
      <c r="AZ166" s="21"/>
    </row>
    <row r="167" spans="1:52" ht="21.75" customHeight="1" x14ac:dyDescent="0.35">
      <c r="A167" s="18">
        <f t="shared" si="25"/>
        <v>163</v>
      </c>
      <c r="B167" s="19"/>
      <c r="C167" s="27"/>
      <c r="D167" s="2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28"/>
      <c r="S167" s="28"/>
      <c r="T167" s="29" t="str">
        <f t="shared" si="26"/>
        <v/>
      </c>
      <c r="U167" s="19"/>
      <c r="V167" s="19"/>
      <c r="W167" s="19"/>
      <c r="X167" s="19"/>
      <c r="Y167" s="18" t="s">
        <v>408</v>
      </c>
      <c r="Z167" s="30"/>
      <c r="AA167" s="30" t="str">
        <f t="shared" si="27"/>
        <v/>
      </c>
      <c r="AB167" s="30" t="str">
        <f t="shared" si="28"/>
        <v/>
      </c>
      <c r="AC167" s="30"/>
      <c r="AD167" s="28"/>
      <c r="AE167" s="28"/>
      <c r="AF167" s="28"/>
      <c r="AG167" s="28"/>
      <c r="AH167" s="28"/>
      <c r="AI167" s="28"/>
      <c r="AJ167" s="28"/>
      <c r="AK167" s="30"/>
      <c r="AL167" s="28"/>
      <c r="AM167" s="19"/>
      <c r="AN167" s="30"/>
      <c r="AO167" s="30"/>
      <c r="AP167" s="30"/>
      <c r="AQ167" s="30"/>
      <c r="AR167" s="30"/>
      <c r="AS167" s="30" t="str">
        <f>IF(AB167&lt;&gt;"",AB167+IF(#REF!&lt;&gt;"",#REF!,0)+IF(AQ167&lt;&gt;"",AQ167,0)+IF(AR167&lt;&gt;"",AR167,0),"")</f>
        <v/>
      </c>
      <c r="AT167" s="30"/>
      <c r="AU167" s="30" t="str">
        <f t="shared" si="29"/>
        <v/>
      </c>
      <c r="AV167" s="19"/>
      <c r="AW167" s="19"/>
      <c r="AX167" s="19"/>
      <c r="AY167" s="19"/>
      <c r="AZ167" s="19"/>
    </row>
    <row r="168" spans="1:52" ht="21.75" customHeight="1" x14ac:dyDescent="0.35">
      <c r="A168" s="20">
        <f t="shared" si="25"/>
        <v>164</v>
      </c>
      <c r="B168" s="21"/>
      <c r="C168" s="31"/>
      <c r="D168" s="23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32"/>
      <c r="S168" s="32"/>
      <c r="T168" s="33" t="str">
        <f t="shared" si="26"/>
        <v/>
      </c>
      <c r="U168" s="21"/>
      <c r="V168" s="21"/>
      <c r="W168" s="21"/>
      <c r="X168" s="21"/>
      <c r="Y168" s="20" t="s">
        <v>408</v>
      </c>
      <c r="Z168" s="34"/>
      <c r="AA168" s="34" t="str">
        <f t="shared" si="27"/>
        <v/>
      </c>
      <c r="AB168" s="34" t="str">
        <f t="shared" si="28"/>
        <v/>
      </c>
      <c r="AC168" s="34"/>
      <c r="AD168" s="32"/>
      <c r="AE168" s="32"/>
      <c r="AF168" s="32"/>
      <c r="AG168" s="32"/>
      <c r="AH168" s="32"/>
      <c r="AI168" s="32"/>
      <c r="AJ168" s="32"/>
      <c r="AK168" s="34"/>
      <c r="AL168" s="32"/>
      <c r="AM168" s="21"/>
      <c r="AN168" s="34"/>
      <c r="AO168" s="34"/>
      <c r="AP168" s="34"/>
      <c r="AQ168" s="34"/>
      <c r="AR168" s="34"/>
      <c r="AS168" s="34" t="str">
        <f>IF(AB168&lt;&gt;"",AB168+IF(#REF!&lt;&gt;"",#REF!,0)+IF(AQ168&lt;&gt;"",AQ168,0)+IF(AR168&lt;&gt;"",AR168,0),"")</f>
        <v/>
      </c>
      <c r="AT168" s="34"/>
      <c r="AU168" s="34" t="str">
        <f t="shared" si="29"/>
        <v/>
      </c>
      <c r="AV168" s="21"/>
      <c r="AW168" s="21"/>
      <c r="AX168" s="21"/>
      <c r="AY168" s="21"/>
      <c r="AZ168" s="21"/>
    </row>
    <row r="169" spans="1:52" ht="21.75" customHeight="1" x14ac:dyDescent="0.35">
      <c r="A169" s="18">
        <f t="shared" si="25"/>
        <v>165</v>
      </c>
      <c r="B169" s="19"/>
      <c r="C169" s="27"/>
      <c r="D169" s="2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28"/>
      <c r="S169" s="28"/>
      <c r="T169" s="29" t="str">
        <f t="shared" si="26"/>
        <v/>
      </c>
      <c r="U169" s="19"/>
      <c r="V169" s="19"/>
      <c r="W169" s="19"/>
      <c r="X169" s="19"/>
      <c r="Y169" s="18" t="s">
        <v>408</v>
      </c>
      <c r="Z169" s="30"/>
      <c r="AA169" s="30" t="str">
        <f t="shared" si="27"/>
        <v/>
      </c>
      <c r="AB169" s="30" t="str">
        <f t="shared" si="28"/>
        <v/>
      </c>
      <c r="AC169" s="30"/>
      <c r="AD169" s="28"/>
      <c r="AE169" s="28"/>
      <c r="AF169" s="28"/>
      <c r="AG169" s="28"/>
      <c r="AH169" s="28"/>
      <c r="AI169" s="28"/>
      <c r="AJ169" s="28"/>
      <c r="AK169" s="30"/>
      <c r="AL169" s="28"/>
      <c r="AM169" s="19"/>
      <c r="AN169" s="30"/>
      <c r="AO169" s="30"/>
      <c r="AP169" s="30"/>
      <c r="AQ169" s="30"/>
      <c r="AR169" s="30"/>
      <c r="AS169" s="30" t="str">
        <f>IF(AB169&lt;&gt;"",AB169+IF(#REF!&lt;&gt;"",#REF!,0)+IF(AQ169&lt;&gt;"",AQ169,0)+IF(AR169&lt;&gt;"",AR169,0),"")</f>
        <v/>
      </c>
      <c r="AT169" s="30"/>
      <c r="AU169" s="30" t="str">
        <f t="shared" si="29"/>
        <v/>
      </c>
      <c r="AV169" s="19"/>
      <c r="AW169" s="19"/>
      <c r="AX169" s="19"/>
      <c r="AY169" s="19"/>
      <c r="AZ169" s="19"/>
    </row>
    <row r="170" spans="1:52" ht="21.75" customHeight="1" x14ac:dyDescent="0.35">
      <c r="A170" s="20">
        <f t="shared" si="25"/>
        <v>166</v>
      </c>
      <c r="B170" s="21"/>
      <c r="C170" s="31"/>
      <c r="D170" s="23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32"/>
      <c r="S170" s="32"/>
      <c r="T170" s="33" t="str">
        <f t="shared" si="26"/>
        <v/>
      </c>
      <c r="U170" s="21"/>
      <c r="V170" s="21"/>
      <c r="W170" s="21"/>
      <c r="X170" s="21"/>
      <c r="Y170" s="20" t="s">
        <v>408</v>
      </c>
      <c r="Z170" s="34"/>
      <c r="AA170" s="34" t="str">
        <f t="shared" si="27"/>
        <v/>
      </c>
      <c r="AB170" s="34" t="str">
        <f t="shared" si="28"/>
        <v/>
      </c>
      <c r="AC170" s="34"/>
      <c r="AD170" s="32"/>
      <c r="AE170" s="32"/>
      <c r="AF170" s="32"/>
      <c r="AG170" s="32"/>
      <c r="AH170" s="32"/>
      <c r="AI170" s="32"/>
      <c r="AJ170" s="32"/>
      <c r="AK170" s="34"/>
      <c r="AL170" s="32"/>
      <c r="AM170" s="21"/>
      <c r="AN170" s="34"/>
      <c r="AO170" s="34"/>
      <c r="AP170" s="34"/>
      <c r="AQ170" s="34"/>
      <c r="AR170" s="34"/>
      <c r="AS170" s="34" t="str">
        <f>IF(AB170&lt;&gt;"",AB170+IF(#REF!&lt;&gt;"",#REF!,0)+IF(AQ170&lt;&gt;"",AQ170,0)+IF(AR170&lt;&gt;"",AR170,0),"")</f>
        <v/>
      </c>
      <c r="AT170" s="34"/>
      <c r="AU170" s="34" t="str">
        <f t="shared" si="29"/>
        <v/>
      </c>
      <c r="AV170" s="21"/>
      <c r="AW170" s="21"/>
      <c r="AX170" s="21"/>
      <c r="AY170" s="21"/>
      <c r="AZ170" s="21"/>
    </row>
    <row r="171" spans="1:52" ht="21.75" customHeight="1" x14ac:dyDescent="0.35">
      <c r="A171" s="18">
        <f t="shared" si="25"/>
        <v>167</v>
      </c>
      <c r="B171" s="19"/>
      <c r="C171" s="27"/>
      <c r="D171" s="2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28"/>
      <c r="S171" s="28"/>
      <c r="T171" s="29" t="str">
        <f t="shared" si="26"/>
        <v/>
      </c>
      <c r="U171" s="19"/>
      <c r="V171" s="19"/>
      <c r="W171" s="19"/>
      <c r="X171" s="19"/>
      <c r="Y171" s="18" t="s">
        <v>408</v>
      </c>
      <c r="Z171" s="30"/>
      <c r="AA171" s="30" t="str">
        <f t="shared" si="27"/>
        <v/>
      </c>
      <c r="AB171" s="30" t="str">
        <f t="shared" si="28"/>
        <v/>
      </c>
      <c r="AC171" s="30"/>
      <c r="AD171" s="28"/>
      <c r="AE171" s="28"/>
      <c r="AF171" s="28"/>
      <c r="AG171" s="28"/>
      <c r="AH171" s="28"/>
      <c r="AI171" s="28"/>
      <c r="AJ171" s="28"/>
      <c r="AK171" s="30"/>
      <c r="AL171" s="28"/>
      <c r="AM171" s="19"/>
      <c r="AN171" s="30"/>
      <c r="AO171" s="30"/>
      <c r="AP171" s="30"/>
      <c r="AQ171" s="30"/>
      <c r="AR171" s="30"/>
      <c r="AS171" s="30" t="str">
        <f>IF(AB171&lt;&gt;"",AB171+IF(#REF!&lt;&gt;"",#REF!,0)+IF(AQ171&lt;&gt;"",AQ171,0)+IF(AR171&lt;&gt;"",AR171,0),"")</f>
        <v/>
      </c>
      <c r="AT171" s="30"/>
      <c r="AU171" s="30" t="str">
        <f t="shared" si="29"/>
        <v/>
      </c>
      <c r="AV171" s="19"/>
      <c r="AW171" s="19"/>
      <c r="AX171" s="19"/>
      <c r="AY171" s="19"/>
      <c r="AZ171" s="19"/>
    </row>
    <row r="172" spans="1:52" ht="21.75" customHeight="1" x14ac:dyDescent="0.35">
      <c r="A172" s="20">
        <f t="shared" si="25"/>
        <v>168</v>
      </c>
      <c r="B172" s="21"/>
      <c r="C172" s="31"/>
      <c r="D172" s="23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32"/>
      <c r="S172" s="32"/>
      <c r="T172" s="33" t="str">
        <f t="shared" si="26"/>
        <v/>
      </c>
      <c r="U172" s="21"/>
      <c r="V172" s="21"/>
      <c r="W172" s="21"/>
      <c r="X172" s="21"/>
      <c r="Y172" s="20" t="s">
        <v>408</v>
      </c>
      <c r="Z172" s="34"/>
      <c r="AA172" s="34" t="str">
        <f t="shared" si="27"/>
        <v/>
      </c>
      <c r="AB172" s="34" t="str">
        <f t="shared" si="28"/>
        <v/>
      </c>
      <c r="AC172" s="34"/>
      <c r="AD172" s="32"/>
      <c r="AE172" s="32"/>
      <c r="AF172" s="32"/>
      <c r="AG172" s="32"/>
      <c r="AH172" s="32"/>
      <c r="AI172" s="32"/>
      <c r="AJ172" s="32"/>
      <c r="AK172" s="34"/>
      <c r="AL172" s="32"/>
      <c r="AM172" s="21"/>
      <c r="AN172" s="34"/>
      <c r="AO172" s="34"/>
      <c r="AP172" s="34"/>
      <c r="AQ172" s="34"/>
      <c r="AR172" s="34"/>
      <c r="AS172" s="34" t="str">
        <f>IF(AB172&lt;&gt;"",AB172+IF(#REF!&lt;&gt;"",#REF!,0)+IF(AQ172&lt;&gt;"",AQ172,0)+IF(AR172&lt;&gt;"",AR172,0),"")</f>
        <v/>
      </c>
      <c r="AT172" s="34"/>
      <c r="AU172" s="34" t="str">
        <f t="shared" si="29"/>
        <v/>
      </c>
      <c r="AV172" s="21"/>
      <c r="AW172" s="21"/>
      <c r="AX172" s="21"/>
      <c r="AY172" s="21"/>
      <c r="AZ172" s="21"/>
    </row>
    <row r="173" spans="1:52" ht="21.75" customHeight="1" x14ac:dyDescent="0.35">
      <c r="A173" s="18">
        <f t="shared" si="25"/>
        <v>169</v>
      </c>
      <c r="B173" s="19"/>
      <c r="C173" s="27"/>
      <c r="D173" s="2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28"/>
      <c r="S173" s="28"/>
      <c r="T173" s="29" t="str">
        <f t="shared" si="26"/>
        <v/>
      </c>
      <c r="U173" s="19"/>
      <c r="V173" s="19"/>
      <c r="W173" s="19"/>
      <c r="X173" s="19"/>
      <c r="Y173" s="18" t="s">
        <v>408</v>
      </c>
      <c r="Z173" s="30"/>
      <c r="AA173" s="30" t="str">
        <f t="shared" si="27"/>
        <v/>
      </c>
      <c r="AB173" s="30" t="str">
        <f t="shared" si="28"/>
        <v/>
      </c>
      <c r="AC173" s="30"/>
      <c r="AD173" s="28"/>
      <c r="AE173" s="28"/>
      <c r="AF173" s="28"/>
      <c r="AG173" s="28"/>
      <c r="AH173" s="28"/>
      <c r="AI173" s="28"/>
      <c r="AJ173" s="28"/>
      <c r="AK173" s="30"/>
      <c r="AL173" s="28"/>
      <c r="AM173" s="19"/>
      <c r="AN173" s="30"/>
      <c r="AO173" s="30"/>
      <c r="AP173" s="30"/>
      <c r="AQ173" s="30"/>
      <c r="AR173" s="30"/>
      <c r="AS173" s="30" t="str">
        <f>IF(AB173&lt;&gt;"",AB173+IF(#REF!&lt;&gt;"",#REF!,0)+IF(AQ173&lt;&gt;"",AQ173,0)+IF(AR173&lt;&gt;"",AR173,0),"")</f>
        <v/>
      </c>
      <c r="AT173" s="30"/>
      <c r="AU173" s="30" t="str">
        <f t="shared" si="29"/>
        <v/>
      </c>
      <c r="AV173" s="19"/>
      <c r="AW173" s="19"/>
      <c r="AX173" s="19"/>
      <c r="AY173" s="19"/>
      <c r="AZ173" s="19"/>
    </row>
    <row r="174" spans="1:52" ht="21.75" customHeight="1" x14ac:dyDescent="0.35">
      <c r="A174" s="20">
        <f t="shared" si="25"/>
        <v>170</v>
      </c>
      <c r="B174" s="21"/>
      <c r="C174" s="31"/>
      <c r="D174" s="23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32"/>
      <c r="S174" s="32"/>
      <c r="T174" s="33" t="str">
        <f t="shared" si="26"/>
        <v/>
      </c>
      <c r="U174" s="21"/>
      <c r="V174" s="21"/>
      <c r="W174" s="21"/>
      <c r="X174" s="21"/>
      <c r="Y174" s="20" t="s">
        <v>408</v>
      </c>
      <c r="Z174" s="34"/>
      <c r="AA174" s="34" t="str">
        <f t="shared" si="27"/>
        <v/>
      </c>
      <c r="AB174" s="34" t="str">
        <f t="shared" si="28"/>
        <v/>
      </c>
      <c r="AC174" s="34"/>
      <c r="AD174" s="32"/>
      <c r="AE174" s="32"/>
      <c r="AF174" s="32"/>
      <c r="AG174" s="32"/>
      <c r="AH174" s="32"/>
      <c r="AI174" s="32"/>
      <c r="AJ174" s="32"/>
      <c r="AK174" s="34"/>
      <c r="AL174" s="32"/>
      <c r="AM174" s="21"/>
      <c r="AN174" s="34"/>
      <c r="AO174" s="34"/>
      <c r="AP174" s="34"/>
      <c r="AQ174" s="34"/>
      <c r="AR174" s="34"/>
      <c r="AS174" s="34" t="str">
        <f>IF(AB174&lt;&gt;"",AB174+IF(#REF!&lt;&gt;"",#REF!,0)+IF(AQ174&lt;&gt;"",AQ174,0)+IF(AR174&lt;&gt;"",AR174,0),"")</f>
        <v/>
      </c>
      <c r="AT174" s="34"/>
      <c r="AU174" s="34" t="str">
        <f t="shared" si="29"/>
        <v/>
      </c>
      <c r="AV174" s="21"/>
      <c r="AW174" s="21"/>
      <c r="AX174" s="21"/>
      <c r="AY174" s="21"/>
      <c r="AZ174" s="21"/>
    </row>
    <row r="175" spans="1:52" ht="21.75" customHeight="1" x14ac:dyDescent="0.35">
      <c r="A175" s="18">
        <f t="shared" si="25"/>
        <v>171</v>
      </c>
      <c r="B175" s="19"/>
      <c r="C175" s="27"/>
      <c r="D175" s="24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28"/>
      <c r="S175" s="28"/>
      <c r="T175" s="29" t="str">
        <f t="shared" si="26"/>
        <v/>
      </c>
      <c r="U175" s="19"/>
      <c r="V175" s="19"/>
      <c r="W175" s="19"/>
      <c r="X175" s="19"/>
      <c r="Y175" s="18" t="s">
        <v>408</v>
      </c>
      <c r="Z175" s="30"/>
      <c r="AA175" s="30" t="str">
        <f t="shared" si="27"/>
        <v/>
      </c>
      <c r="AB175" s="30" t="str">
        <f t="shared" si="28"/>
        <v/>
      </c>
      <c r="AC175" s="30"/>
      <c r="AD175" s="28"/>
      <c r="AE175" s="28"/>
      <c r="AF175" s="28"/>
      <c r="AG175" s="28"/>
      <c r="AH175" s="28"/>
      <c r="AI175" s="28"/>
      <c r="AJ175" s="28"/>
      <c r="AK175" s="30"/>
      <c r="AL175" s="28"/>
      <c r="AM175" s="19"/>
      <c r="AN175" s="30"/>
      <c r="AO175" s="30"/>
      <c r="AP175" s="30"/>
      <c r="AQ175" s="30"/>
      <c r="AR175" s="30"/>
      <c r="AS175" s="30" t="str">
        <f>IF(AB175&lt;&gt;"",AB175+IF(#REF!&lt;&gt;"",#REF!,0)+IF(AQ175&lt;&gt;"",AQ175,0)+IF(AR175&lt;&gt;"",AR175,0),"")</f>
        <v/>
      </c>
      <c r="AT175" s="30"/>
      <c r="AU175" s="30" t="str">
        <f t="shared" si="29"/>
        <v/>
      </c>
      <c r="AV175" s="19"/>
      <c r="AW175" s="19"/>
      <c r="AX175" s="19"/>
      <c r="AY175" s="19"/>
      <c r="AZ175" s="19"/>
    </row>
    <row r="176" spans="1:52" ht="21.75" customHeight="1" x14ac:dyDescent="0.35">
      <c r="A176" s="20">
        <f t="shared" si="25"/>
        <v>172</v>
      </c>
      <c r="B176" s="21"/>
      <c r="C176" s="31"/>
      <c r="D176" s="23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32"/>
      <c r="S176" s="32"/>
      <c r="T176" s="33" t="str">
        <f t="shared" si="26"/>
        <v/>
      </c>
      <c r="U176" s="21"/>
      <c r="V176" s="21"/>
      <c r="W176" s="21"/>
      <c r="X176" s="21"/>
      <c r="Y176" s="20" t="s">
        <v>408</v>
      </c>
      <c r="Z176" s="34"/>
      <c r="AA176" s="34" t="str">
        <f t="shared" si="27"/>
        <v/>
      </c>
      <c r="AB176" s="34" t="str">
        <f t="shared" si="28"/>
        <v/>
      </c>
      <c r="AC176" s="34"/>
      <c r="AD176" s="32"/>
      <c r="AE176" s="32"/>
      <c r="AF176" s="32"/>
      <c r="AG176" s="32"/>
      <c r="AH176" s="32"/>
      <c r="AI176" s="32"/>
      <c r="AJ176" s="32"/>
      <c r="AK176" s="34"/>
      <c r="AL176" s="32"/>
      <c r="AM176" s="21"/>
      <c r="AN176" s="34"/>
      <c r="AO176" s="34"/>
      <c r="AP176" s="34"/>
      <c r="AQ176" s="34"/>
      <c r="AR176" s="34"/>
      <c r="AS176" s="34" t="str">
        <f>IF(AB176&lt;&gt;"",AB176+IF(#REF!&lt;&gt;"",#REF!,0)+IF(AQ176&lt;&gt;"",AQ176,0)+IF(AR176&lt;&gt;"",AR176,0),"")</f>
        <v/>
      </c>
      <c r="AT176" s="34"/>
      <c r="AU176" s="34" t="str">
        <f t="shared" si="29"/>
        <v/>
      </c>
      <c r="AV176" s="21"/>
      <c r="AW176" s="21"/>
      <c r="AX176" s="21"/>
      <c r="AY176" s="21"/>
      <c r="AZ176" s="21"/>
    </row>
    <row r="177" spans="1:52" ht="21.75" customHeight="1" x14ac:dyDescent="0.35">
      <c r="A177" s="18">
        <f t="shared" si="25"/>
        <v>173</v>
      </c>
      <c r="B177" s="19"/>
      <c r="C177" s="27"/>
      <c r="D177" s="24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28"/>
      <c r="S177" s="28"/>
      <c r="T177" s="29" t="str">
        <f t="shared" si="26"/>
        <v/>
      </c>
      <c r="U177" s="19"/>
      <c r="V177" s="19"/>
      <c r="W177" s="19"/>
      <c r="X177" s="19"/>
      <c r="Y177" s="18" t="s">
        <v>408</v>
      </c>
      <c r="Z177" s="30"/>
      <c r="AA177" s="30" t="str">
        <f t="shared" si="27"/>
        <v/>
      </c>
      <c r="AB177" s="30" t="str">
        <f t="shared" si="28"/>
        <v/>
      </c>
      <c r="AC177" s="30"/>
      <c r="AD177" s="28"/>
      <c r="AE177" s="28"/>
      <c r="AF177" s="28"/>
      <c r="AG177" s="28"/>
      <c r="AH177" s="28"/>
      <c r="AI177" s="28"/>
      <c r="AJ177" s="28"/>
      <c r="AK177" s="30"/>
      <c r="AL177" s="28"/>
      <c r="AM177" s="19"/>
      <c r="AN177" s="30"/>
      <c r="AO177" s="30"/>
      <c r="AP177" s="30"/>
      <c r="AQ177" s="30"/>
      <c r="AR177" s="30"/>
      <c r="AS177" s="30" t="str">
        <f>IF(AB177&lt;&gt;"",AB177+IF(#REF!&lt;&gt;"",#REF!,0)+IF(AQ177&lt;&gt;"",AQ177,0)+IF(AR177&lt;&gt;"",AR177,0),"")</f>
        <v/>
      </c>
      <c r="AT177" s="30"/>
      <c r="AU177" s="30" t="str">
        <f t="shared" si="29"/>
        <v/>
      </c>
      <c r="AV177" s="19"/>
      <c r="AW177" s="19"/>
      <c r="AX177" s="19"/>
      <c r="AY177" s="19"/>
      <c r="AZ177" s="19"/>
    </row>
    <row r="178" spans="1:52" ht="21.75" customHeight="1" x14ac:dyDescent="0.35">
      <c r="A178" s="20">
        <f t="shared" si="25"/>
        <v>174</v>
      </c>
      <c r="B178" s="21"/>
      <c r="C178" s="31"/>
      <c r="D178" s="23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32"/>
      <c r="S178" s="32"/>
      <c r="T178" s="33" t="str">
        <f t="shared" si="26"/>
        <v/>
      </c>
      <c r="U178" s="21"/>
      <c r="V178" s="21"/>
      <c r="W178" s="21"/>
      <c r="X178" s="21"/>
      <c r="Y178" s="20" t="s">
        <v>408</v>
      </c>
      <c r="Z178" s="34"/>
      <c r="AA178" s="34" t="str">
        <f t="shared" si="27"/>
        <v/>
      </c>
      <c r="AB178" s="34" t="str">
        <f t="shared" si="28"/>
        <v/>
      </c>
      <c r="AC178" s="34"/>
      <c r="AD178" s="32"/>
      <c r="AE178" s="32"/>
      <c r="AF178" s="32"/>
      <c r="AG178" s="32"/>
      <c r="AH178" s="32"/>
      <c r="AI178" s="32"/>
      <c r="AJ178" s="32"/>
      <c r="AK178" s="34"/>
      <c r="AL178" s="32"/>
      <c r="AM178" s="21"/>
      <c r="AN178" s="34"/>
      <c r="AO178" s="34"/>
      <c r="AP178" s="34"/>
      <c r="AQ178" s="34"/>
      <c r="AR178" s="34"/>
      <c r="AS178" s="34" t="str">
        <f>IF(AB178&lt;&gt;"",AB178+IF(#REF!&lt;&gt;"",#REF!,0)+IF(AQ178&lt;&gt;"",AQ178,0)+IF(AR178&lt;&gt;"",AR178,0),"")</f>
        <v/>
      </c>
      <c r="AT178" s="34"/>
      <c r="AU178" s="34" t="str">
        <f t="shared" si="29"/>
        <v/>
      </c>
      <c r="AV178" s="21"/>
      <c r="AW178" s="21"/>
      <c r="AX178" s="21"/>
      <c r="AY178" s="21"/>
      <c r="AZ178" s="21"/>
    </row>
    <row r="179" spans="1:52" ht="21.75" customHeight="1" x14ac:dyDescent="0.35">
      <c r="A179" s="18">
        <f t="shared" si="25"/>
        <v>175</v>
      </c>
      <c r="B179" s="19"/>
      <c r="C179" s="27"/>
      <c r="D179" s="24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28"/>
      <c r="S179" s="28"/>
      <c r="T179" s="29" t="str">
        <f t="shared" si="26"/>
        <v/>
      </c>
      <c r="U179" s="19"/>
      <c r="V179" s="19"/>
      <c r="W179" s="19"/>
      <c r="X179" s="19"/>
      <c r="Y179" s="18" t="s">
        <v>408</v>
      </c>
      <c r="Z179" s="30"/>
      <c r="AA179" s="30" t="str">
        <f t="shared" si="27"/>
        <v/>
      </c>
      <c r="AB179" s="30" t="str">
        <f t="shared" si="28"/>
        <v/>
      </c>
      <c r="AC179" s="30"/>
      <c r="AD179" s="28"/>
      <c r="AE179" s="28"/>
      <c r="AF179" s="28"/>
      <c r="AG179" s="28"/>
      <c r="AH179" s="28"/>
      <c r="AI179" s="28"/>
      <c r="AJ179" s="28"/>
      <c r="AK179" s="30"/>
      <c r="AL179" s="28"/>
      <c r="AM179" s="19"/>
      <c r="AN179" s="30"/>
      <c r="AO179" s="30"/>
      <c r="AP179" s="30"/>
      <c r="AQ179" s="30"/>
      <c r="AR179" s="30"/>
      <c r="AS179" s="30" t="str">
        <f>IF(AB179&lt;&gt;"",AB179+IF(#REF!&lt;&gt;"",#REF!,0)+IF(AQ179&lt;&gt;"",AQ179,0)+IF(AR179&lt;&gt;"",AR179,0),"")</f>
        <v/>
      </c>
      <c r="AT179" s="30"/>
      <c r="AU179" s="30" t="str">
        <f t="shared" si="29"/>
        <v/>
      </c>
      <c r="AV179" s="19"/>
      <c r="AW179" s="19"/>
      <c r="AX179" s="19"/>
      <c r="AY179" s="19"/>
      <c r="AZ179" s="19"/>
    </row>
    <row r="180" spans="1:52" ht="21.75" customHeight="1" x14ac:dyDescent="0.35">
      <c r="A180" s="20">
        <f t="shared" si="25"/>
        <v>176</v>
      </c>
      <c r="B180" s="21"/>
      <c r="C180" s="31"/>
      <c r="D180" s="23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32"/>
      <c r="S180" s="32"/>
      <c r="T180" s="33" t="str">
        <f t="shared" si="26"/>
        <v/>
      </c>
      <c r="U180" s="21"/>
      <c r="V180" s="21"/>
      <c r="W180" s="21"/>
      <c r="X180" s="21"/>
      <c r="Y180" s="20" t="s">
        <v>408</v>
      </c>
      <c r="Z180" s="34"/>
      <c r="AA180" s="34" t="str">
        <f t="shared" si="27"/>
        <v/>
      </c>
      <c r="AB180" s="34" t="str">
        <f t="shared" si="28"/>
        <v/>
      </c>
      <c r="AC180" s="34"/>
      <c r="AD180" s="32"/>
      <c r="AE180" s="32"/>
      <c r="AF180" s="32"/>
      <c r="AG180" s="32"/>
      <c r="AH180" s="32"/>
      <c r="AI180" s="32"/>
      <c r="AJ180" s="32"/>
      <c r="AK180" s="34"/>
      <c r="AL180" s="32"/>
      <c r="AM180" s="21"/>
      <c r="AN180" s="34"/>
      <c r="AO180" s="34"/>
      <c r="AP180" s="34"/>
      <c r="AQ180" s="34"/>
      <c r="AR180" s="34"/>
      <c r="AS180" s="34" t="str">
        <f>IF(AB180&lt;&gt;"",AB180+IF(#REF!&lt;&gt;"",#REF!,0)+IF(AQ180&lt;&gt;"",AQ180,0)+IF(AR180&lt;&gt;"",AR180,0),"")</f>
        <v/>
      </c>
      <c r="AT180" s="34"/>
      <c r="AU180" s="34" t="str">
        <f t="shared" si="29"/>
        <v/>
      </c>
      <c r="AV180" s="21"/>
      <c r="AW180" s="21"/>
      <c r="AX180" s="21"/>
      <c r="AY180" s="21"/>
      <c r="AZ180" s="21"/>
    </row>
    <row r="181" spans="1:52" ht="21.75" customHeight="1" x14ac:dyDescent="0.35">
      <c r="A181" s="18">
        <f t="shared" si="25"/>
        <v>177</v>
      </c>
      <c r="B181" s="19"/>
      <c r="C181" s="27"/>
      <c r="D181" s="24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28"/>
      <c r="S181" s="28"/>
      <c r="T181" s="29" t="str">
        <f t="shared" si="26"/>
        <v/>
      </c>
      <c r="U181" s="19"/>
      <c r="V181" s="19"/>
      <c r="W181" s="19"/>
      <c r="X181" s="19"/>
      <c r="Y181" s="18" t="s">
        <v>408</v>
      </c>
      <c r="Z181" s="30"/>
      <c r="AA181" s="30" t="str">
        <f t="shared" si="27"/>
        <v/>
      </c>
      <c r="AB181" s="30" t="str">
        <f t="shared" si="28"/>
        <v/>
      </c>
      <c r="AC181" s="30"/>
      <c r="AD181" s="28"/>
      <c r="AE181" s="28"/>
      <c r="AF181" s="28"/>
      <c r="AG181" s="28"/>
      <c r="AH181" s="28"/>
      <c r="AI181" s="28"/>
      <c r="AJ181" s="28"/>
      <c r="AK181" s="30"/>
      <c r="AL181" s="28"/>
      <c r="AM181" s="19"/>
      <c r="AN181" s="30"/>
      <c r="AO181" s="30"/>
      <c r="AP181" s="30"/>
      <c r="AQ181" s="30"/>
      <c r="AR181" s="30"/>
      <c r="AS181" s="30" t="str">
        <f>IF(AB181&lt;&gt;"",AB181+IF(#REF!&lt;&gt;"",#REF!,0)+IF(AQ181&lt;&gt;"",AQ181,0)+IF(AR181&lt;&gt;"",AR181,0),"")</f>
        <v/>
      </c>
      <c r="AT181" s="30"/>
      <c r="AU181" s="30" t="str">
        <f t="shared" si="29"/>
        <v/>
      </c>
      <c r="AV181" s="19"/>
      <c r="AW181" s="19"/>
      <c r="AX181" s="19"/>
      <c r="AY181" s="19"/>
      <c r="AZ181" s="19"/>
    </row>
    <row r="182" spans="1:52" ht="21.75" customHeight="1" x14ac:dyDescent="0.35">
      <c r="A182" s="20">
        <f t="shared" si="25"/>
        <v>178</v>
      </c>
      <c r="B182" s="21"/>
      <c r="C182" s="31"/>
      <c r="D182" s="23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32"/>
      <c r="S182" s="32"/>
      <c r="T182" s="33" t="str">
        <f t="shared" si="26"/>
        <v/>
      </c>
      <c r="U182" s="21"/>
      <c r="V182" s="21"/>
      <c r="W182" s="21"/>
      <c r="X182" s="21"/>
      <c r="Y182" s="20" t="s">
        <v>408</v>
      </c>
      <c r="Z182" s="34"/>
      <c r="AA182" s="34" t="str">
        <f t="shared" si="27"/>
        <v/>
      </c>
      <c r="AB182" s="34" t="str">
        <f t="shared" si="28"/>
        <v/>
      </c>
      <c r="AC182" s="34"/>
      <c r="AD182" s="32"/>
      <c r="AE182" s="32"/>
      <c r="AF182" s="32"/>
      <c r="AG182" s="32"/>
      <c r="AH182" s="32"/>
      <c r="AI182" s="32"/>
      <c r="AJ182" s="32"/>
      <c r="AK182" s="34"/>
      <c r="AL182" s="32"/>
      <c r="AM182" s="21"/>
      <c r="AN182" s="34"/>
      <c r="AO182" s="34"/>
      <c r="AP182" s="34"/>
      <c r="AQ182" s="34"/>
      <c r="AR182" s="34"/>
      <c r="AS182" s="34" t="str">
        <f>IF(AB182&lt;&gt;"",AB182+IF(#REF!&lt;&gt;"",#REF!,0)+IF(AQ182&lt;&gt;"",AQ182,0)+IF(AR182&lt;&gt;"",AR182,0),"")</f>
        <v/>
      </c>
      <c r="AT182" s="34"/>
      <c r="AU182" s="34" t="str">
        <f t="shared" si="29"/>
        <v/>
      </c>
      <c r="AV182" s="21"/>
      <c r="AW182" s="21"/>
      <c r="AX182" s="21"/>
      <c r="AY182" s="21"/>
      <c r="AZ182" s="21"/>
    </row>
    <row r="183" spans="1:52" ht="21.75" customHeight="1" x14ac:dyDescent="0.35">
      <c r="A183" s="18">
        <f t="shared" si="25"/>
        <v>179</v>
      </c>
      <c r="B183" s="19"/>
      <c r="C183" s="27"/>
      <c r="D183" s="24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28"/>
      <c r="S183" s="28"/>
      <c r="T183" s="29" t="str">
        <f t="shared" si="26"/>
        <v/>
      </c>
      <c r="U183" s="19"/>
      <c r="V183" s="19"/>
      <c r="W183" s="19"/>
      <c r="X183" s="19"/>
      <c r="Y183" s="18" t="s">
        <v>408</v>
      </c>
      <c r="Z183" s="30"/>
      <c r="AA183" s="30" t="str">
        <f t="shared" si="27"/>
        <v/>
      </c>
      <c r="AB183" s="30" t="str">
        <f t="shared" si="28"/>
        <v/>
      </c>
      <c r="AC183" s="30"/>
      <c r="AD183" s="28"/>
      <c r="AE183" s="28"/>
      <c r="AF183" s="28"/>
      <c r="AG183" s="28"/>
      <c r="AH183" s="28"/>
      <c r="AI183" s="28"/>
      <c r="AJ183" s="28"/>
      <c r="AK183" s="30"/>
      <c r="AL183" s="28"/>
      <c r="AM183" s="19"/>
      <c r="AN183" s="30"/>
      <c r="AO183" s="30"/>
      <c r="AP183" s="30"/>
      <c r="AQ183" s="30"/>
      <c r="AR183" s="30"/>
      <c r="AS183" s="30" t="str">
        <f>IF(AB183&lt;&gt;"",AB183+IF(#REF!&lt;&gt;"",#REF!,0)+IF(AQ183&lt;&gt;"",AQ183,0)+IF(AR183&lt;&gt;"",AR183,0),"")</f>
        <v/>
      </c>
      <c r="AT183" s="30"/>
      <c r="AU183" s="30" t="str">
        <f t="shared" si="29"/>
        <v/>
      </c>
      <c r="AV183" s="19"/>
      <c r="AW183" s="19"/>
      <c r="AX183" s="19"/>
      <c r="AY183" s="19"/>
      <c r="AZ183" s="19"/>
    </row>
    <row r="184" spans="1:52" ht="21.75" customHeight="1" x14ac:dyDescent="0.35">
      <c r="A184" s="20">
        <f t="shared" si="25"/>
        <v>180</v>
      </c>
      <c r="B184" s="21"/>
      <c r="C184" s="31"/>
      <c r="D184" s="23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32"/>
      <c r="S184" s="32"/>
      <c r="T184" s="33" t="str">
        <f t="shared" si="26"/>
        <v/>
      </c>
      <c r="U184" s="21"/>
      <c r="V184" s="21"/>
      <c r="W184" s="21"/>
      <c r="X184" s="21"/>
      <c r="Y184" s="20" t="s">
        <v>408</v>
      </c>
      <c r="Z184" s="34"/>
      <c r="AA184" s="34" t="str">
        <f t="shared" si="27"/>
        <v/>
      </c>
      <c r="AB184" s="34" t="str">
        <f t="shared" si="28"/>
        <v/>
      </c>
      <c r="AC184" s="34"/>
      <c r="AD184" s="32"/>
      <c r="AE184" s="32"/>
      <c r="AF184" s="32"/>
      <c r="AG184" s="32"/>
      <c r="AH184" s="32"/>
      <c r="AI184" s="32"/>
      <c r="AJ184" s="32"/>
      <c r="AK184" s="34"/>
      <c r="AL184" s="32"/>
      <c r="AM184" s="21"/>
      <c r="AN184" s="34"/>
      <c r="AO184" s="34"/>
      <c r="AP184" s="34"/>
      <c r="AQ184" s="34"/>
      <c r="AR184" s="34"/>
      <c r="AS184" s="34" t="str">
        <f>IF(AB184&lt;&gt;"",AB184+IF(#REF!&lt;&gt;"",#REF!,0)+IF(AQ184&lt;&gt;"",AQ184,0)+IF(AR184&lt;&gt;"",AR184,0),"")</f>
        <v/>
      </c>
      <c r="AT184" s="34"/>
      <c r="AU184" s="34" t="str">
        <f t="shared" si="29"/>
        <v/>
      </c>
      <c r="AV184" s="21"/>
      <c r="AW184" s="21"/>
      <c r="AX184" s="21"/>
      <c r="AY184" s="21"/>
      <c r="AZ184" s="21"/>
    </row>
    <row r="185" spans="1:52" ht="21.75" customHeight="1" x14ac:dyDescent="0.35">
      <c r="A185" s="18">
        <f t="shared" si="25"/>
        <v>181</v>
      </c>
      <c r="B185" s="19"/>
      <c r="C185" s="27"/>
      <c r="D185" s="2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28"/>
      <c r="S185" s="28"/>
      <c r="T185" s="29" t="str">
        <f t="shared" si="26"/>
        <v/>
      </c>
      <c r="U185" s="19"/>
      <c r="V185" s="19"/>
      <c r="W185" s="19"/>
      <c r="X185" s="19"/>
      <c r="Y185" s="18" t="s">
        <v>408</v>
      </c>
      <c r="Z185" s="30"/>
      <c r="AA185" s="30" t="str">
        <f t="shared" si="27"/>
        <v/>
      </c>
      <c r="AB185" s="30" t="str">
        <f t="shared" si="28"/>
        <v/>
      </c>
      <c r="AC185" s="30"/>
      <c r="AD185" s="28"/>
      <c r="AE185" s="28"/>
      <c r="AF185" s="28"/>
      <c r="AG185" s="28"/>
      <c r="AH185" s="28"/>
      <c r="AI185" s="28"/>
      <c r="AJ185" s="28"/>
      <c r="AK185" s="30"/>
      <c r="AL185" s="28"/>
      <c r="AM185" s="19"/>
      <c r="AN185" s="30"/>
      <c r="AO185" s="30"/>
      <c r="AP185" s="30"/>
      <c r="AQ185" s="30"/>
      <c r="AR185" s="30"/>
      <c r="AS185" s="30" t="str">
        <f>IF(AB185&lt;&gt;"",AB185+IF(#REF!&lt;&gt;"",#REF!,0)+IF(AQ185&lt;&gt;"",AQ185,0)+IF(AR185&lt;&gt;"",AR185,0),"")</f>
        <v/>
      </c>
      <c r="AT185" s="30"/>
      <c r="AU185" s="30" t="str">
        <f t="shared" si="29"/>
        <v/>
      </c>
      <c r="AV185" s="19"/>
      <c r="AW185" s="19"/>
      <c r="AX185" s="19"/>
      <c r="AY185" s="19"/>
      <c r="AZ185" s="19"/>
    </row>
    <row r="186" spans="1:52" ht="21.75" customHeight="1" x14ac:dyDescent="0.35">
      <c r="A186" s="20">
        <f t="shared" si="25"/>
        <v>182</v>
      </c>
      <c r="B186" s="21"/>
      <c r="C186" s="31"/>
      <c r="D186" s="23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32"/>
      <c r="S186" s="32"/>
      <c r="T186" s="33" t="str">
        <f t="shared" si="26"/>
        <v/>
      </c>
      <c r="U186" s="21"/>
      <c r="V186" s="21"/>
      <c r="W186" s="21"/>
      <c r="X186" s="21"/>
      <c r="Y186" s="20" t="s">
        <v>408</v>
      </c>
      <c r="Z186" s="34"/>
      <c r="AA186" s="34" t="str">
        <f t="shared" si="27"/>
        <v/>
      </c>
      <c r="AB186" s="34" t="str">
        <f t="shared" si="28"/>
        <v/>
      </c>
      <c r="AC186" s="34"/>
      <c r="AD186" s="32"/>
      <c r="AE186" s="32"/>
      <c r="AF186" s="32"/>
      <c r="AG186" s="32"/>
      <c r="AH186" s="32"/>
      <c r="AI186" s="32"/>
      <c r="AJ186" s="32"/>
      <c r="AK186" s="34"/>
      <c r="AL186" s="32"/>
      <c r="AM186" s="21"/>
      <c r="AN186" s="34"/>
      <c r="AO186" s="34"/>
      <c r="AP186" s="34"/>
      <c r="AQ186" s="34"/>
      <c r="AR186" s="34"/>
      <c r="AS186" s="34" t="str">
        <f>IF(AB186&lt;&gt;"",AB186+IF(#REF!&lt;&gt;"",#REF!,0)+IF(AQ186&lt;&gt;"",AQ186,0)+IF(AR186&lt;&gt;"",AR186,0),"")</f>
        <v/>
      </c>
      <c r="AT186" s="34"/>
      <c r="AU186" s="34" t="str">
        <f t="shared" si="29"/>
        <v/>
      </c>
      <c r="AV186" s="21"/>
      <c r="AW186" s="21"/>
      <c r="AX186" s="21"/>
      <c r="AY186" s="21"/>
      <c r="AZ186" s="21"/>
    </row>
    <row r="187" spans="1:52" ht="21.75" customHeight="1" x14ac:dyDescent="0.35">
      <c r="A187" s="18">
        <f t="shared" si="25"/>
        <v>183</v>
      </c>
      <c r="B187" s="19"/>
      <c r="C187" s="27"/>
      <c r="D187" s="24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28"/>
      <c r="S187" s="28"/>
      <c r="T187" s="29" t="str">
        <f t="shared" si="26"/>
        <v/>
      </c>
      <c r="U187" s="19"/>
      <c r="V187" s="19"/>
      <c r="W187" s="19"/>
      <c r="X187" s="19"/>
      <c r="Y187" s="18" t="s">
        <v>408</v>
      </c>
      <c r="Z187" s="30"/>
      <c r="AA187" s="30" t="str">
        <f t="shared" si="27"/>
        <v/>
      </c>
      <c r="AB187" s="30" t="str">
        <f t="shared" si="28"/>
        <v/>
      </c>
      <c r="AC187" s="30"/>
      <c r="AD187" s="28"/>
      <c r="AE187" s="28"/>
      <c r="AF187" s="28"/>
      <c r="AG187" s="28"/>
      <c r="AH187" s="28"/>
      <c r="AI187" s="28"/>
      <c r="AJ187" s="28"/>
      <c r="AK187" s="30"/>
      <c r="AL187" s="28"/>
      <c r="AM187" s="19"/>
      <c r="AN187" s="30"/>
      <c r="AO187" s="30"/>
      <c r="AP187" s="30"/>
      <c r="AQ187" s="30"/>
      <c r="AR187" s="30"/>
      <c r="AS187" s="30" t="str">
        <f>IF(AB187&lt;&gt;"",AB187+IF(#REF!&lt;&gt;"",#REF!,0)+IF(AQ187&lt;&gt;"",AQ187,0)+IF(AR187&lt;&gt;"",AR187,0),"")</f>
        <v/>
      </c>
      <c r="AT187" s="30"/>
      <c r="AU187" s="30" t="str">
        <f t="shared" si="29"/>
        <v/>
      </c>
      <c r="AV187" s="19"/>
      <c r="AW187" s="19"/>
      <c r="AX187" s="19"/>
      <c r="AY187" s="19"/>
      <c r="AZ187" s="19"/>
    </row>
    <row r="188" spans="1:52" ht="21.75" customHeight="1" x14ac:dyDescent="0.35">
      <c r="A188" s="20">
        <f t="shared" si="25"/>
        <v>184</v>
      </c>
      <c r="B188" s="21"/>
      <c r="C188" s="31"/>
      <c r="D188" s="23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32"/>
      <c r="S188" s="32"/>
      <c r="T188" s="33" t="str">
        <f t="shared" si="26"/>
        <v/>
      </c>
      <c r="U188" s="21"/>
      <c r="V188" s="21"/>
      <c r="W188" s="21"/>
      <c r="X188" s="21"/>
      <c r="Y188" s="20" t="s">
        <v>408</v>
      </c>
      <c r="Z188" s="34"/>
      <c r="AA188" s="34" t="str">
        <f t="shared" si="27"/>
        <v/>
      </c>
      <c r="AB188" s="34" t="str">
        <f t="shared" si="28"/>
        <v/>
      </c>
      <c r="AC188" s="34"/>
      <c r="AD188" s="32"/>
      <c r="AE188" s="32"/>
      <c r="AF188" s="32"/>
      <c r="AG188" s="32"/>
      <c r="AH188" s="32"/>
      <c r="AI188" s="32"/>
      <c r="AJ188" s="32"/>
      <c r="AK188" s="34"/>
      <c r="AL188" s="32"/>
      <c r="AM188" s="21"/>
      <c r="AN188" s="34"/>
      <c r="AO188" s="34"/>
      <c r="AP188" s="34"/>
      <c r="AQ188" s="34"/>
      <c r="AR188" s="34"/>
      <c r="AS188" s="34" t="str">
        <f>IF(AB188&lt;&gt;"",AB188+IF(#REF!&lt;&gt;"",#REF!,0)+IF(AQ188&lt;&gt;"",AQ188,0)+IF(AR188&lt;&gt;"",AR188,0),"")</f>
        <v/>
      </c>
      <c r="AT188" s="34"/>
      <c r="AU188" s="34" t="str">
        <f t="shared" si="29"/>
        <v/>
      </c>
      <c r="AV188" s="21"/>
      <c r="AW188" s="21"/>
      <c r="AX188" s="21"/>
      <c r="AY188" s="21"/>
      <c r="AZ188" s="21"/>
    </row>
    <row r="189" spans="1:52" ht="21.75" customHeight="1" x14ac:dyDescent="0.35">
      <c r="A189" s="18">
        <f t="shared" si="25"/>
        <v>185</v>
      </c>
      <c r="B189" s="19"/>
      <c r="C189" s="27"/>
      <c r="D189" s="24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28"/>
      <c r="S189" s="28"/>
      <c r="T189" s="29" t="str">
        <f t="shared" si="26"/>
        <v/>
      </c>
      <c r="U189" s="19"/>
      <c r="V189" s="19"/>
      <c r="W189" s="19"/>
      <c r="X189" s="19"/>
      <c r="Y189" s="18" t="s">
        <v>408</v>
      </c>
      <c r="Z189" s="30"/>
      <c r="AA189" s="30" t="str">
        <f t="shared" si="27"/>
        <v/>
      </c>
      <c r="AB189" s="30" t="str">
        <f t="shared" si="28"/>
        <v/>
      </c>
      <c r="AC189" s="30"/>
      <c r="AD189" s="28"/>
      <c r="AE189" s="28"/>
      <c r="AF189" s="28"/>
      <c r="AG189" s="28"/>
      <c r="AH189" s="28"/>
      <c r="AI189" s="28"/>
      <c r="AJ189" s="28"/>
      <c r="AK189" s="30"/>
      <c r="AL189" s="28"/>
      <c r="AM189" s="19"/>
      <c r="AN189" s="30"/>
      <c r="AO189" s="30"/>
      <c r="AP189" s="30"/>
      <c r="AQ189" s="30"/>
      <c r="AR189" s="30"/>
      <c r="AS189" s="30" t="str">
        <f>IF(AB189&lt;&gt;"",AB189+IF(#REF!&lt;&gt;"",#REF!,0)+IF(AQ189&lt;&gt;"",AQ189,0)+IF(AR189&lt;&gt;"",AR189,0),"")</f>
        <v/>
      </c>
      <c r="AT189" s="30"/>
      <c r="AU189" s="30" t="str">
        <f t="shared" si="29"/>
        <v/>
      </c>
      <c r="AV189" s="19"/>
      <c r="AW189" s="19"/>
      <c r="AX189" s="19"/>
      <c r="AY189" s="19"/>
      <c r="AZ189" s="19"/>
    </row>
    <row r="190" spans="1:52" ht="21.75" customHeight="1" x14ac:dyDescent="0.35">
      <c r="A190" s="20">
        <f t="shared" si="25"/>
        <v>186</v>
      </c>
      <c r="B190" s="21"/>
      <c r="C190" s="31"/>
      <c r="D190" s="23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32"/>
      <c r="S190" s="32"/>
      <c r="T190" s="33" t="str">
        <f t="shared" si="26"/>
        <v/>
      </c>
      <c r="U190" s="21"/>
      <c r="V190" s="21"/>
      <c r="W190" s="21"/>
      <c r="X190" s="21"/>
      <c r="Y190" s="20" t="s">
        <v>408</v>
      </c>
      <c r="Z190" s="34"/>
      <c r="AA190" s="34" t="str">
        <f t="shared" si="27"/>
        <v/>
      </c>
      <c r="AB190" s="34" t="str">
        <f t="shared" si="28"/>
        <v/>
      </c>
      <c r="AC190" s="34"/>
      <c r="AD190" s="32"/>
      <c r="AE190" s="32"/>
      <c r="AF190" s="32"/>
      <c r="AG190" s="32"/>
      <c r="AH190" s="32"/>
      <c r="AI190" s="32"/>
      <c r="AJ190" s="32"/>
      <c r="AK190" s="34"/>
      <c r="AL190" s="32"/>
      <c r="AM190" s="21"/>
      <c r="AN190" s="34"/>
      <c r="AO190" s="34"/>
      <c r="AP190" s="34"/>
      <c r="AQ190" s="34"/>
      <c r="AR190" s="34"/>
      <c r="AS190" s="34" t="str">
        <f>IF(AB190&lt;&gt;"",AB190+IF(#REF!&lt;&gt;"",#REF!,0)+IF(AQ190&lt;&gt;"",AQ190,0)+IF(AR190&lt;&gt;"",AR190,0),"")</f>
        <v/>
      </c>
      <c r="AT190" s="34"/>
      <c r="AU190" s="34" t="str">
        <f t="shared" si="29"/>
        <v/>
      </c>
      <c r="AV190" s="21"/>
      <c r="AW190" s="21"/>
      <c r="AX190" s="21"/>
      <c r="AY190" s="21"/>
      <c r="AZ190" s="21"/>
    </row>
    <row r="191" spans="1:52" ht="21.75" customHeight="1" x14ac:dyDescent="0.35">
      <c r="A191" s="18">
        <f t="shared" si="25"/>
        <v>187</v>
      </c>
      <c r="B191" s="19"/>
      <c r="C191" s="27"/>
      <c r="D191" s="24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28"/>
      <c r="S191" s="28"/>
      <c r="T191" s="29" t="str">
        <f t="shared" si="26"/>
        <v/>
      </c>
      <c r="U191" s="19"/>
      <c r="V191" s="19"/>
      <c r="W191" s="19"/>
      <c r="X191" s="19"/>
      <c r="Y191" s="18" t="s">
        <v>408</v>
      </c>
      <c r="Z191" s="30"/>
      <c r="AA191" s="30" t="str">
        <f t="shared" si="27"/>
        <v/>
      </c>
      <c r="AB191" s="30" t="str">
        <f t="shared" si="28"/>
        <v/>
      </c>
      <c r="AC191" s="30"/>
      <c r="AD191" s="28"/>
      <c r="AE191" s="28"/>
      <c r="AF191" s="28"/>
      <c r="AG191" s="28"/>
      <c r="AH191" s="28"/>
      <c r="AI191" s="28"/>
      <c r="AJ191" s="28"/>
      <c r="AK191" s="30"/>
      <c r="AL191" s="28"/>
      <c r="AM191" s="19"/>
      <c r="AN191" s="30"/>
      <c r="AO191" s="30"/>
      <c r="AP191" s="30"/>
      <c r="AQ191" s="30"/>
      <c r="AR191" s="30"/>
      <c r="AS191" s="30" t="str">
        <f>IF(AB191&lt;&gt;"",AB191+IF(#REF!&lt;&gt;"",#REF!,0)+IF(AQ191&lt;&gt;"",AQ191,0)+IF(AR191&lt;&gt;"",AR191,0),"")</f>
        <v/>
      </c>
      <c r="AT191" s="30"/>
      <c r="AU191" s="30" t="str">
        <f t="shared" si="29"/>
        <v/>
      </c>
      <c r="AV191" s="19"/>
      <c r="AW191" s="19"/>
      <c r="AX191" s="19"/>
      <c r="AY191" s="19"/>
      <c r="AZ191" s="19"/>
    </row>
    <row r="192" spans="1:52" ht="21.75" customHeight="1" x14ac:dyDescent="0.35">
      <c r="A192" s="20">
        <f t="shared" si="25"/>
        <v>188</v>
      </c>
      <c r="B192" s="21"/>
      <c r="C192" s="31"/>
      <c r="D192" s="23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32"/>
      <c r="S192" s="32"/>
      <c r="T192" s="33" t="str">
        <f t="shared" si="26"/>
        <v/>
      </c>
      <c r="U192" s="21"/>
      <c r="V192" s="21"/>
      <c r="W192" s="21"/>
      <c r="X192" s="21"/>
      <c r="Y192" s="20" t="s">
        <v>408</v>
      </c>
      <c r="Z192" s="34"/>
      <c r="AA192" s="34" t="str">
        <f t="shared" si="27"/>
        <v/>
      </c>
      <c r="AB192" s="34" t="str">
        <f t="shared" si="28"/>
        <v/>
      </c>
      <c r="AC192" s="34"/>
      <c r="AD192" s="32"/>
      <c r="AE192" s="32"/>
      <c r="AF192" s="32"/>
      <c r="AG192" s="32"/>
      <c r="AH192" s="32"/>
      <c r="AI192" s="32"/>
      <c r="AJ192" s="32"/>
      <c r="AK192" s="34"/>
      <c r="AL192" s="32"/>
      <c r="AM192" s="21"/>
      <c r="AN192" s="34"/>
      <c r="AO192" s="34"/>
      <c r="AP192" s="34"/>
      <c r="AQ192" s="34"/>
      <c r="AR192" s="34"/>
      <c r="AS192" s="34" t="str">
        <f>IF(AB192&lt;&gt;"",AB192+IF(#REF!&lt;&gt;"",#REF!,0)+IF(AQ192&lt;&gt;"",AQ192,0)+IF(AR192&lt;&gt;"",AR192,0),"")</f>
        <v/>
      </c>
      <c r="AT192" s="34"/>
      <c r="AU192" s="34" t="str">
        <f t="shared" si="29"/>
        <v/>
      </c>
      <c r="AV192" s="21"/>
      <c r="AW192" s="21"/>
      <c r="AX192" s="21"/>
      <c r="AY192" s="21"/>
      <c r="AZ192" s="21"/>
    </row>
    <row r="193" spans="1:52" ht="21.75" customHeight="1" x14ac:dyDescent="0.35">
      <c r="A193" s="18">
        <f t="shared" si="25"/>
        <v>189</v>
      </c>
      <c r="B193" s="19"/>
      <c r="C193" s="27"/>
      <c r="D193" s="24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28"/>
      <c r="S193" s="28"/>
      <c r="T193" s="29" t="str">
        <f t="shared" si="26"/>
        <v/>
      </c>
      <c r="U193" s="19"/>
      <c r="V193" s="19"/>
      <c r="W193" s="19"/>
      <c r="X193" s="19"/>
      <c r="Y193" s="18" t="s">
        <v>408</v>
      </c>
      <c r="Z193" s="30"/>
      <c r="AA193" s="30" t="str">
        <f t="shared" si="27"/>
        <v/>
      </c>
      <c r="AB193" s="30" t="str">
        <f t="shared" si="28"/>
        <v/>
      </c>
      <c r="AC193" s="30"/>
      <c r="AD193" s="28"/>
      <c r="AE193" s="28"/>
      <c r="AF193" s="28"/>
      <c r="AG193" s="28"/>
      <c r="AH193" s="28"/>
      <c r="AI193" s="28"/>
      <c r="AJ193" s="28"/>
      <c r="AK193" s="30"/>
      <c r="AL193" s="28"/>
      <c r="AM193" s="19"/>
      <c r="AN193" s="30"/>
      <c r="AO193" s="30"/>
      <c r="AP193" s="30"/>
      <c r="AQ193" s="30"/>
      <c r="AR193" s="30"/>
      <c r="AS193" s="30" t="str">
        <f>IF(AB193&lt;&gt;"",AB193+IF(#REF!&lt;&gt;"",#REF!,0)+IF(AQ193&lt;&gt;"",AQ193,0)+IF(AR193&lt;&gt;"",AR193,0),"")</f>
        <v/>
      </c>
      <c r="AT193" s="30"/>
      <c r="AU193" s="30" t="str">
        <f t="shared" si="29"/>
        <v/>
      </c>
      <c r="AV193" s="19"/>
      <c r="AW193" s="19"/>
      <c r="AX193" s="19"/>
      <c r="AY193" s="19"/>
      <c r="AZ193" s="19"/>
    </row>
    <row r="194" spans="1:52" ht="21.75" customHeight="1" x14ac:dyDescent="0.35">
      <c r="A194" s="20">
        <f t="shared" si="25"/>
        <v>190</v>
      </c>
      <c r="B194" s="21"/>
      <c r="C194" s="31"/>
      <c r="D194" s="23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32"/>
      <c r="S194" s="32"/>
      <c r="T194" s="33" t="str">
        <f t="shared" si="26"/>
        <v/>
      </c>
      <c r="U194" s="21"/>
      <c r="V194" s="21"/>
      <c r="W194" s="21"/>
      <c r="X194" s="21"/>
      <c r="Y194" s="20" t="s">
        <v>408</v>
      </c>
      <c r="Z194" s="34"/>
      <c r="AA194" s="34" t="str">
        <f t="shared" si="27"/>
        <v/>
      </c>
      <c r="AB194" s="34" t="str">
        <f t="shared" si="28"/>
        <v/>
      </c>
      <c r="AC194" s="34"/>
      <c r="AD194" s="32"/>
      <c r="AE194" s="32"/>
      <c r="AF194" s="32"/>
      <c r="AG194" s="32"/>
      <c r="AH194" s="32"/>
      <c r="AI194" s="32"/>
      <c r="AJ194" s="32"/>
      <c r="AK194" s="34"/>
      <c r="AL194" s="32"/>
      <c r="AM194" s="21"/>
      <c r="AN194" s="34"/>
      <c r="AO194" s="34"/>
      <c r="AP194" s="34"/>
      <c r="AQ194" s="34"/>
      <c r="AR194" s="34"/>
      <c r="AS194" s="34" t="str">
        <f>IF(AB194&lt;&gt;"",AB194+IF(#REF!&lt;&gt;"",#REF!,0)+IF(AQ194&lt;&gt;"",AQ194,0)+IF(AR194&lt;&gt;"",AR194,0),"")</f>
        <v/>
      </c>
      <c r="AT194" s="34"/>
      <c r="AU194" s="34" t="str">
        <f t="shared" si="29"/>
        <v/>
      </c>
      <c r="AV194" s="21"/>
      <c r="AW194" s="21"/>
      <c r="AX194" s="21"/>
      <c r="AY194" s="21"/>
      <c r="AZ194" s="21"/>
    </row>
    <row r="195" spans="1:52" ht="21.75" customHeight="1" x14ac:dyDescent="0.35">
      <c r="A195" s="18">
        <f t="shared" si="25"/>
        <v>191</v>
      </c>
      <c r="B195" s="19"/>
      <c r="C195" s="27"/>
      <c r="D195" s="24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28"/>
      <c r="S195" s="28"/>
      <c r="T195" s="29" t="str">
        <f t="shared" si="26"/>
        <v/>
      </c>
      <c r="U195" s="19"/>
      <c r="V195" s="19"/>
      <c r="W195" s="19"/>
      <c r="X195" s="19"/>
      <c r="Y195" s="18" t="s">
        <v>408</v>
      </c>
      <c r="Z195" s="30"/>
      <c r="AA195" s="30" t="str">
        <f t="shared" si="27"/>
        <v/>
      </c>
      <c r="AB195" s="30" t="str">
        <f t="shared" si="28"/>
        <v/>
      </c>
      <c r="AC195" s="30"/>
      <c r="AD195" s="28"/>
      <c r="AE195" s="28"/>
      <c r="AF195" s="28"/>
      <c r="AG195" s="28"/>
      <c r="AH195" s="28"/>
      <c r="AI195" s="28"/>
      <c r="AJ195" s="28"/>
      <c r="AK195" s="30"/>
      <c r="AL195" s="28"/>
      <c r="AM195" s="19"/>
      <c r="AN195" s="30"/>
      <c r="AO195" s="30"/>
      <c r="AP195" s="30"/>
      <c r="AQ195" s="30"/>
      <c r="AR195" s="30"/>
      <c r="AS195" s="30" t="str">
        <f>IF(AB195&lt;&gt;"",AB195+IF(#REF!&lt;&gt;"",#REF!,0)+IF(AQ195&lt;&gt;"",AQ195,0)+IF(AR195&lt;&gt;"",AR195,0),"")</f>
        <v/>
      </c>
      <c r="AT195" s="30"/>
      <c r="AU195" s="30" t="str">
        <f t="shared" si="29"/>
        <v/>
      </c>
      <c r="AV195" s="19"/>
      <c r="AW195" s="19"/>
      <c r="AX195" s="19"/>
      <c r="AY195" s="19"/>
      <c r="AZ195" s="19"/>
    </row>
    <row r="196" spans="1:52" ht="21.75" customHeight="1" x14ac:dyDescent="0.35">
      <c r="A196" s="20">
        <f t="shared" si="25"/>
        <v>192</v>
      </c>
      <c r="B196" s="21"/>
      <c r="C196" s="31"/>
      <c r="D196" s="23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32"/>
      <c r="S196" s="32"/>
      <c r="T196" s="33" t="str">
        <f t="shared" si="26"/>
        <v/>
      </c>
      <c r="U196" s="21"/>
      <c r="V196" s="21"/>
      <c r="W196" s="21"/>
      <c r="X196" s="21"/>
      <c r="Y196" s="20" t="s">
        <v>408</v>
      </c>
      <c r="Z196" s="34"/>
      <c r="AA196" s="34" t="str">
        <f t="shared" si="27"/>
        <v/>
      </c>
      <c r="AB196" s="34" t="str">
        <f t="shared" si="28"/>
        <v/>
      </c>
      <c r="AC196" s="34"/>
      <c r="AD196" s="32"/>
      <c r="AE196" s="32"/>
      <c r="AF196" s="32"/>
      <c r="AG196" s="32"/>
      <c r="AH196" s="32"/>
      <c r="AI196" s="32"/>
      <c r="AJ196" s="32"/>
      <c r="AK196" s="34"/>
      <c r="AL196" s="32"/>
      <c r="AM196" s="21"/>
      <c r="AN196" s="34"/>
      <c r="AO196" s="34"/>
      <c r="AP196" s="34"/>
      <c r="AQ196" s="34"/>
      <c r="AR196" s="34"/>
      <c r="AS196" s="34" t="str">
        <f>IF(AB196&lt;&gt;"",AB196+IF(#REF!&lt;&gt;"",#REF!,0)+IF(AQ196&lt;&gt;"",AQ196,0)+IF(AR196&lt;&gt;"",AR196,0),"")</f>
        <v/>
      </c>
      <c r="AT196" s="34"/>
      <c r="AU196" s="34" t="str">
        <f t="shared" si="29"/>
        <v/>
      </c>
      <c r="AV196" s="21"/>
      <c r="AW196" s="21"/>
      <c r="AX196" s="21"/>
      <c r="AY196" s="21"/>
      <c r="AZ196" s="21"/>
    </row>
    <row r="197" spans="1:52" ht="21.75" customHeight="1" x14ac:dyDescent="0.35">
      <c r="A197" s="18">
        <f t="shared" ref="A197:A204" si="30">ROW()-4</f>
        <v>193</v>
      </c>
      <c r="B197" s="19"/>
      <c r="C197" s="27"/>
      <c r="D197" s="2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28"/>
      <c r="S197" s="28"/>
      <c r="T197" s="29" t="str">
        <f t="shared" ref="T197:T204" si="31">IF(AND(R197&lt;&gt;"",S197&lt;&gt;""),S197-R197,"")</f>
        <v/>
      </c>
      <c r="U197" s="19"/>
      <c r="V197" s="19"/>
      <c r="W197" s="19"/>
      <c r="X197" s="19"/>
      <c r="Y197" s="18" t="s">
        <v>408</v>
      </c>
      <c r="Z197" s="30"/>
      <c r="AA197" s="30" t="str">
        <f t="shared" ref="AA197:AA204" si="32">IF(Z197&lt;&gt;"",ROUND(Z197/30,2),"")</f>
        <v/>
      </c>
      <c r="AB197" s="30" t="str">
        <f t="shared" ref="AB197:AB204" si="33">IF(AND(Z197&lt;&gt;"",T197&lt;&gt;""),ROUND(Z197/30*T197,2),"")</f>
        <v/>
      </c>
      <c r="AC197" s="30"/>
      <c r="AD197" s="28"/>
      <c r="AE197" s="28"/>
      <c r="AF197" s="28"/>
      <c r="AG197" s="28"/>
      <c r="AH197" s="28"/>
      <c r="AI197" s="28"/>
      <c r="AJ197" s="28"/>
      <c r="AK197" s="30"/>
      <c r="AL197" s="28"/>
      <c r="AM197" s="19"/>
      <c r="AN197" s="30"/>
      <c r="AO197" s="30"/>
      <c r="AP197" s="30"/>
      <c r="AQ197" s="30"/>
      <c r="AR197" s="30"/>
      <c r="AS197" s="30" t="str">
        <f>IF(AB197&lt;&gt;"",AB197+IF(#REF!&lt;&gt;"",#REF!,0)+IF(AQ197&lt;&gt;"",AQ197,0)+IF(AR197&lt;&gt;"",AR197,0),"")</f>
        <v/>
      </c>
      <c r="AT197" s="30"/>
      <c r="AU197" s="30" t="str">
        <f t="shared" ref="AU197:AU204" si="34">IF(AS197&lt;&gt;"",AS197-IF(AT197&lt;&gt;"",AT197,0),"")</f>
        <v/>
      </c>
      <c r="AV197" s="19"/>
      <c r="AW197" s="19"/>
      <c r="AX197" s="19"/>
      <c r="AY197" s="19"/>
      <c r="AZ197" s="19"/>
    </row>
    <row r="198" spans="1:52" ht="21.75" customHeight="1" x14ac:dyDescent="0.35">
      <c r="A198" s="20">
        <f t="shared" si="30"/>
        <v>194</v>
      </c>
      <c r="B198" s="21"/>
      <c r="C198" s="31"/>
      <c r="D198" s="23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32"/>
      <c r="S198" s="32"/>
      <c r="T198" s="33" t="str">
        <f t="shared" si="31"/>
        <v/>
      </c>
      <c r="U198" s="21"/>
      <c r="V198" s="21"/>
      <c r="W198" s="21"/>
      <c r="X198" s="21"/>
      <c r="Y198" s="20" t="s">
        <v>408</v>
      </c>
      <c r="Z198" s="34"/>
      <c r="AA198" s="34" t="str">
        <f t="shared" si="32"/>
        <v/>
      </c>
      <c r="AB198" s="34" t="str">
        <f t="shared" si="33"/>
        <v/>
      </c>
      <c r="AC198" s="34"/>
      <c r="AD198" s="32"/>
      <c r="AE198" s="32"/>
      <c r="AF198" s="32"/>
      <c r="AG198" s="32"/>
      <c r="AH198" s="32"/>
      <c r="AI198" s="32"/>
      <c r="AJ198" s="32"/>
      <c r="AK198" s="34"/>
      <c r="AL198" s="32"/>
      <c r="AM198" s="21"/>
      <c r="AN198" s="34"/>
      <c r="AO198" s="34"/>
      <c r="AP198" s="34"/>
      <c r="AQ198" s="34"/>
      <c r="AR198" s="34"/>
      <c r="AS198" s="34" t="str">
        <f>IF(AB198&lt;&gt;"",AB198+IF(#REF!&lt;&gt;"",#REF!,0)+IF(AQ198&lt;&gt;"",AQ198,0)+IF(AR198&lt;&gt;"",AR198,0),"")</f>
        <v/>
      </c>
      <c r="AT198" s="34"/>
      <c r="AU198" s="34" t="str">
        <f t="shared" si="34"/>
        <v/>
      </c>
      <c r="AV198" s="21"/>
      <c r="AW198" s="21"/>
      <c r="AX198" s="21"/>
      <c r="AY198" s="21"/>
      <c r="AZ198" s="21"/>
    </row>
    <row r="199" spans="1:52" ht="21.75" customHeight="1" x14ac:dyDescent="0.35">
      <c r="A199" s="18">
        <f t="shared" si="30"/>
        <v>195</v>
      </c>
      <c r="B199" s="19"/>
      <c r="C199" s="27"/>
      <c r="D199" s="24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28"/>
      <c r="S199" s="28"/>
      <c r="T199" s="29" t="str">
        <f t="shared" si="31"/>
        <v/>
      </c>
      <c r="U199" s="19"/>
      <c r="V199" s="19"/>
      <c r="W199" s="19"/>
      <c r="X199" s="19"/>
      <c r="Y199" s="18" t="s">
        <v>408</v>
      </c>
      <c r="Z199" s="30"/>
      <c r="AA199" s="30" t="str">
        <f t="shared" si="32"/>
        <v/>
      </c>
      <c r="AB199" s="30" t="str">
        <f t="shared" si="33"/>
        <v/>
      </c>
      <c r="AC199" s="30"/>
      <c r="AD199" s="28"/>
      <c r="AE199" s="28"/>
      <c r="AF199" s="28"/>
      <c r="AG199" s="28"/>
      <c r="AH199" s="28"/>
      <c r="AI199" s="28"/>
      <c r="AJ199" s="28"/>
      <c r="AK199" s="30"/>
      <c r="AL199" s="28"/>
      <c r="AM199" s="19"/>
      <c r="AN199" s="30"/>
      <c r="AO199" s="30"/>
      <c r="AP199" s="30"/>
      <c r="AQ199" s="30"/>
      <c r="AR199" s="30"/>
      <c r="AS199" s="30" t="str">
        <f>IF(AB199&lt;&gt;"",AB199+IF(#REF!&lt;&gt;"",#REF!,0)+IF(AQ199&lt;&gt;"",AQ199,0)+IF(AR199&lt;&gt;"",AR199,0),"")</f>
        <v/>
      </c>
      <c r="AT199" s="30"/>
      <c r="AU199" s="30" t="str">
        <f t="shared" si="34"/>
        <v/>
      </c>
      <c r="AV199" s="19"/>
      <c r="AW199" s="19"/>
      <c r="AX199" s="19"/>
      <c r="AY199" s="19"/>
      <c r="AZ199" s="19"/>
    </row>
    <row r="200" spans="1:52" ht="21.75" customHeight="1" x14ac:dyDescent="0.35">
      <c r="A200" s="20">
        <f t="shared" si="30"/>
        <v>196</v>
      </c>
      <c r="B200" s="21"/>
      <c r="C200" s="31"/>
      <c r="D200" s="23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32"/>
      <c r="S200" s="32"/>
      <c r="T200" s="33" t="str">
        <f t="shared" si="31"/>
        <v/>
      </c>
      <c r="U200" s="21"/>
      <c r="V200" s="21"/>
      <c r="W200" s="21"/>
      <c r="X200" s="21"/>
      <c r="Y200" s="20" t="s">
        <v>408</v>
      </c>
      <c r="Z200" s="34"/>
      <c r="AA200" s="34" t="str">
        <f t="shared" si="32"/>
        <v/>
      </c>
      <c r="AB200" s="34" t="str">
        <f t="shared" si="33"/>
        <v/>
      </c>
      <c r="AC200" s="34"/>
      <c r="AD200" s="32"/>
      <c r="AE200" s="32"/>
      <c r="AF200" s="32"/>
      <c r="AG200" s="32"/>
      <c r="AH200" s="32"/>
      <c r="AI200" s="32"/>
      <c r="AJ200" s="32"/>
      <c r="AK200" s="34"/>
      <c r="AL200" s="32"/>
      <c r="AM200" s="21"/>
      <c r="AN200" s="34"/>
      <c r="AO200" s="34"/>
      <c r="AP200" s="34"/>
      <c r="AQ200" s="34"/>
      <c r="AR200" s="34"/>
      <c r="AS200" s="34" t="str">
        <f>IF(AB200&lt;&gt;"",AB200+IF(#REF!&lt;&gt;"",#REF!,0)+IF(AQ200&lt;&gt;"",AQ200,0)+IF(AR200&lt;&gt;"",AR200,0),"")</f>
        <v/>
      </c>
      <c r="AT200" s="34"/>
      <c r="AU200" s="34" t="str">
        <f t="shared" si="34"/>
        <v/>
      </c>
      <c r="AV200" s="21"/>
      <c r="AW200" s="21"/>
      <c r="AX200" s="21"/>
      <c r="AY200" s="21"/>
      <c r="AZ200" s="21"/>
    </row>
    <row r="201" spans="1:52" ht="21.75" customHeight="1" x14ac:dyDescent="0.35">
      <c r="A201" s="18">
        <f t="shared" si="30"/>
        <v>197</v>
      </c>
      <c r="B201" s="19"/>
      <c r="C201" s="27"/>
      <c r="D201" s="24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28"/>
      <c r="S201" s="28"/>
      <c r="T201" s="29" t="str">
        <f t="shared" si="31"/>
        <v/>
      </c>
      <c r="U201" s="19"/>
      <c r="V201" s="19"/>
      <c r="W201" s="19"/>
      <c r="X201" s="19"/>
      <c r="Y201" s="18" t="s">
        <v>408</v>
      </c>
      <c r="Z201" s="30"/>
      <c r="AA201" s="30" t="str">
        <f t="shared" si="32"/>
        <v/>
      </c>
      <c r="AB201" s="30" t="str">
        <f t="shared" si="33"/>
        <v/>
      </c>
      <c r="AC201" s="30"/>
      <c r="AD201" s="28"/>
      <c r="AE201" s="28"/>
      <c r="AF201" s="28"/>
      <c r="AG201" s="28"/>
      <c r="AH201" s="28"/>
      <c r="AI201" s="28"/>
      <c r="AJ201" s="28"/>
      <c r="AK201" s="30"/>
      <c r="AL201" s="28"/>
      <c r="AM201" s="19"/>
      <c r="AN201" s="30"/>
      <c r="AO201" s="30"/>
      <c r="AP201" s="30"/>
      <c r="AQ201" s="30"/>
      <c r="AR201" s="30"/>
      <c r="AS201" s="30" t="str">
        <f>IF(AB201&lt;&gt;"",AB201+IF(#REF!&lt;&gt;"",#REF!,0)+IF(AQ201&lt;&gt;"",AQ201,0)+IF(AR201&lt;&gt;"",AR201,0),"")</f>
        <v/>
      </c>
      <c r="AT201" s="30"/>
      <c r="AU201" s="30" t="str">
        <f t="shared" si="34"/>
        <v/>
      </c>
      <c r="AV201" s="19"/>
      <c r="AW201" s="19"/>
      <c r="AX201" s="19"/>
      <c r="AY201" s="19"/>
      <c r="AZ201" s="19"/>
    </row>
    <row r="202" spans="1:52" ht="21.75" customHeight="1" x14ac:dyDescent="0.35">
      <c r="A202" s="20">
        <f t="shared" si="30"/>
        <v>198</v>
      </c>
      <c r="B202" s="21"/>
      <c r="C202" s="31"/>
      <c r="D202" s="23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32"/>
      <c r="S202" s="32"/>
      <c r="T202" s="33" t="str">
        <f t="shared" si="31"/>
        <v/>
      </c>
      <c r="U202" s="21"/>
      <c r="V202" s="21"/>
      <c r="W202" s="21"/>
      <c r="X202" s="21"/>
      <c r="Y202" s="20" t="s">
        <v>408</v>
      </c>
      <c r="Z202" s="34"/>
      <c r="AA202" s="34" t="str">
        <f t="shared" si="32"/>
        <v/>
      </c>
      <c r="AB202" s="34" t="str">
        <f t="shared" si="33"/>
        <v/>
      </c>
      <c r="AC202" s="34"/>
      <c r="AD202" s="32"/>
      <c r="AE202" s="32"/>
      <c r="AF202" s="32"/>
      <c r="AG202" s="32"/>
      <c r="AH202" s="32"/>
      <c r="AI202" s="32"/>
      <c r="AJ202" s="32"/>
      <c r="AK202" s="34"/>
      <c r="AL202" s="32"/>
      <c r="AM202" s="21"/>
      <c r="AN202" s="34"/>
      <c r="AO202" s="34"/>
      <c r="AP202" s="34"/>
      <c r="AQ202" s="34"/>
      <c r="AR202" s="34"/>
      <c r="AS202" s="34" t="str">
        <f>IF(AB202&lt;&gt;"",AB202+IF(#REF!&lt;&gt;"",#REF!,0)+IF(AQ202&lt;&gt;"",AQ202,0)+IF(AR202&lt;&gt;"",AR202,0),"")</f>
        <v/>
      </c>
      <c r="AT202" s="34"/>
      <c r="AU202" s="34" t="str">
        <f t="shared" si="34"/>
        <v/>
      </c>
      <c r="AV202" s="21"/>
      <c r="AW202" s="21"/>
      <c r="AX202" s="21"/>
      <c r="AY202" s="21"/>
      <c r="AZ202" s="21"/>
    </row>
    <row r="203" spans="1:52" ht="21.75" customHeight="1" x14ac:dyDescent="0.35">
      <c r="A203" s="18">
        <f t="shared" si="30"/>
        <v>199</v>
      </c>
      <c r="B203" s="19"/>
      <c r="C203" s="27"/>
      <c r="D203" s="24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28"/>
      <c r="S203" s="28"/>
      <c r="T203" s="29" t="str">
        <f t="shared" si="31"/>
        <v/>
      </c>
      <c r="U203" s="19"/>
      <c r="V203" s="19"/>
      <c r="W203" s="19"/>
      <c r="X203" s="19"/>
      <c r="Y203" s="18" t="s">
        <v>408</v>
      </c>
      <c r="Z203" s="30"/>
      <c r="AA203" s="30" t="str">
        <f t="shared" si="32"/>
        <v/>
      </c>
      <c r="AB203" s="30" t="str">
        <f t="shared" si="33"/>
        <v/>
      </c>
      <c r="AC203" s="30"/>
      <c r="AD203" s="28"/>
      <c r="AE203" s="28"/>
      <c r="AF203" s="28"/>
      <c r="AG203" s="28"/>
      <c r="AH203" s="28"/>
      <c r="AI203" s="28"/>
      <c r="AJ203" s="28"/>
      <c r="AK203" s="30"/>
      <c r="AL203" s="28"/>
      <c r="AM203" s="19"/>
      <c r="AN203" s="30"/>
      <c r="AO203" s="30"/>
      <c r="AP203" s="30"/>
      <c r="AQ203" s="30"/>
      <c r="AR203" s="30"/>
      <c r="AS203" s="30" t="str">
        <f>IF(AB203&lt;&gt;"",AB203+IF(#REF!&lt;&gt;"",#REF!,0)+IF(AQ203&lt;&gt;"",AQ203,0)+IF(AR203&lt;&gt;"",AR203,0),"")</f>
        <v/>
      </c>
      <c r="AT203" s="30"/>
      <c r="AU203" s="30" t="str">
        <f t="shared" si="34"/>
        <v/>
      </c>
      <c r="AV203" s="19"/>
      <c r="AW203" s="19"/>
      <c r="AX203" s="19"/>
      <c r="AY203" s="19"/>
      <c r="AZ203" s="19"/>
    </row>
    <row r="204" spans="1:52" ht="21.75" customHeight="1" x14ac:dyDescent="0.35">
      <c r="A204" s="20">
        <f t="shared" si="30"/>
        <v>200</v>
      </c>
      <c r="B204" s="21"/>
      <c r="C204" s="31"/>
      <c r="D204" s="23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32"/>
      <c r="S204" s="32"/>
      <c r="T204" s="33" t="str">
        <f t="shared" si="31"/>
        <v/>
      </c>
      <c r="U204" s="21"/>
      <c r="V204" s="21"/>
      <c r="W204" s="21"/>
      <c r="X204" s="21"/>
      <c r="Y204" s="20" t="s">
        <v>408</v>
      </c>
      <c r="Z204" s="34"/>
      <c r="AA204" s="34" t="str">
        <f t="shared" si="32"/>
        <v/>
      </c>
      <c r="AB204" s="34" t="str">
        <f t="shared" si="33"/>
        <v/>
      </c>
      <c r="AC204" s="34"/>
      <c r="AD204" s="32"/>
      <c r="AE204" s="32"/>
      <c r="AF204" s="32"/>
      <c r="AG204" s="32"/>
      <c r="AH204" s="32"/>
      <c r="AI204" s="32"/>
      <c r="AJ204" s="32"/>
      <c r="AK204" s="34"/>
      <c r="AL204" s="32"/>
      <c r="AM204" s="21"/>
      <c r="AN204" s="34"/>
      <c r="AO204" s="34"/>
      <c r="AP204" s="34"/>
      <c r="AQ204" s="34"/>
      <c r="AR204" s="34"/>
      <c r="AS204" s="34" t="str">
        <f>IF(AB204&lt;&gt;"",AB204+IF(#REF!&lt;&gt;"",#REF!,0)+IF(AQ204&lt;&gt;"",AQ204,0)+IF(AR204&lt;&gt;"",AR204,0),"")</f>
        <v/>
      </c>
      <c r="AT204" s="34"/>
      <c r="AU204" s="34" t="str">
        <f t="shared" si="34"/>
        <v/>
      </c>
      <c r="AV204" s="21"/>
      <c r="AW204" s="21"/>
      <c r="AX204" s="21"/>
      <c r="AY204" s="21"/>
      <c r="AZ204" s="21"/>
    </row>
  </sheetData>
  <autoFilter ref="A4:AZ4" xr:uid="{00000000-0009-0000-0000-000003000000}"/>
  <mergeCells count="8">
    <mergeCell ref="A1:AZ1"/>
    <mergeCell ref="A2:AZ2"/>
    <mergeCell ref="A3:D3"/>
    <mergeCell ref="E3:I3"/>
    <mergeCell ref="J3:P3"/>
    <mergeCell ref="AV3:AZ3"/>
    <mergeCell ref="Y3:AU3"/>
    <mergeCell ref="Q3:X3"/>
  </mergeCells>
  <dataValidations count="8">
    <dataValidation type="list" showErrorMessage="1" sqref="Y5:Y1004" xr:uid="{00000000-0002-0000-0300-000000000000}">
      <formula1>"CHF,EUR,USD,GBP,INR"</formula1>
      <formula2>0</formula2>
    </dataValidation>
    <dataValidation type="list" showErrorMessage="1" sqref="W5:W1004" xr:uid="{00000000-0002-0000-0300-000001000000}">
      <formula1>"Short-term,Long-term,Monthly,Nightly"</formula1>
      <formula2>0</formula2>
    </dataValidation>
    <dataValidation type="list" showErrorMessage="1" sqref="X5:X1004" xr:uid="{00000000-0002-0000-0300-000002000000}">
      <formula1>"Business,Leisure,Relocation,Medical,Other"</formula1>
      <formula2>0</formula2>
    </dataValidation>
    <dataValidation type="list" showErrorMessage="1" sqref="AV5:AV1004" xr:uid="{00000000-0002-0000-0300-000003000000}">
      <formula1>"Bank Transfer,Cash,Credit Card,TWINT,PayPal,Other"</formula1>
      <formula2>0</formula2>
    </dataValidation>
    <dataValidation type="list" showErrorMessage="1" sqref="AW5:AW1004" xr:uid="{00000000-0002-0000-0300-000004000000}">
      <formula1>"Paid,Partial,Pending,Overdue,Refunded"</formula1>
      <formula2>0</formula2>
    </dataValidation>
    <dataValidation type="list" showErrorMessage="1" sqref="AX5:AX1004" xr:uid="{00000000-0002-0000-0300-000005000000}">
      <formula1>"Confirmed,Cancelled,Checked-Out,No-Show,Pending"</formula1>
      <formula2>0</formula2>
    </dataValidation>
    <dataValidation type="list" showErrorMessage="1" sqref="O5:O1004" xr:uid="{00000000-0002-0000-0300-000006000000}">
      <formula1>"APARTMENT,CHALET,PARKING,GARAGE,OFFICE"</formula1>
      <formula2>0</formula2>
    </dataValidation>
    <dataValidation type="list" showErrorMessage="1" sqref="N5:N1004" xr:uid="{00000000-0002-0000-0300-000007000000}">
      <formula1>"OWN,SUB"</formula1>
      <formula2>0</formula2>
    </dataValidation>
  </dataValidations>
  <pageMargins left="0.75" right="0.75" top="1" bottom="1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8960C"/>
  </sheetPr>
  <dimension ref="A1:G26"/>
  <sheetViews>
    <sheetView zoomScaleNormal="100" workbookViewId="0">
      <pane ySplit="2" topLeftCell="A3" activePane="bottomLeft" state="frozen"/>
      <selection pane="bottomLeft" sqref="A1:G1"/>
    </sheetView>
  </sheetViews>
  <sheetFormatPr defaultColWidth="8.6328125" defaultRowHeight="14.5" x14ac:dyDescent="0.35"/>
  <cols>
    <col min="1" max="1" width="16" customWidth="1"/>
    <col min="2" max="2" width="26" customWidth="1"/>
    <col min="3" max="3" width="8" customWidth="1"/>
    <col min="4" max="4" width="14" customWidth="1"/>
    <col min="5" max="5" width="12" customWidth="1"/>
    <col min="6" max="6" width="46" customWidth="1"/>
    <col min="7" max="7" width="28" customWidth="1"/>
  </cols>
  <sheetData>
    <row r="1" spans="1:7" ht="31.5" customHeight="1" x14ac:dyDescent="0.35">
      <c r="A1" s="38" t="s">
        <v>409</v>
      </c>
      <c r="B1" s="38"/>
      <c r="C1" s="38"/>
      <c r="D1" s="38"/>
      <c r="E1" s="38"/>
      <c r="F1" s="38"/>
      <c r="G1" s="38"/>
    </row>
    <row r="2" spans="1:7" ht="23.25" customHeight="1" x14ac:dyDescent="0.35">
      <c r="A2" s="35" t="s">
        <v>410</v>
      </c>
      <c r="B2" s="35" t="s">
        <v>411</v>
      </c>
      <c r="C2" s="35" t="s">
        <v>412</v>
      </c>
      <c r="D2" s="35" t="s">
        <v>413</v>
      </c>
      <c r="E2" s="35" t="s">
        <v>414</v>
      </c>
      <c r="F2" s="35" t="s">
        <v>415</v>
      </c>
      <c r="G2" s="35" t="s">
        <v>416</v>
      </c>
    </row>
    <row r="3" spans="1:7" ht="21.75" customHeight="1" x14ac:dyDescent="0.35">
      <c r="A3" s="19" t="s">
        <v>417</v>
      </c>
      <c r="B3" s="19" t="s">
        <v>418</v>
      </c>
      <c r="C3" s="19" t="s">
        <v>419</v>
      </c>
      <c r="D3" s="27" t="s">
        <v>420</v>
      </c>
      <c r="E3" s="19" t="s">
        <v>421</v>
      </c>
      <c r="F3" s="19" t="s">
        <v>422</v>
      </c>
      <c r="G3" s="19" t="s">
        <v>423</v>
      </c>
    </row>
    <row r="4" spans="1:7" ht="21.75" customHeight="1" x14ac:dyDescent="0.35">
      <c r="A4" s="21" t="s">
        <v>417</v>
      </c>
      <c r="B4" s="21" t="s">
        <v>424</v>
      </c>
      <c r="C4" s="21" t="s">
        <v>425</v>
      </c>
      <c r="D4" s="21" t="s">
        <v>426</v>
      </c>
      <c r="E4" s="21" t="s">
        <v>421</v>
      </c>
      <c r="F4" s="21" t="s">
        <v>427</v>
      </c>
      <c r="G4" s="21" t="s">
        <v>428</v>
      </c>
    </row>
    <row r="5" spans="1:7" ht="21.75" customHeight="1" x14ac:dyDescent="0.35">
      <c r="A5" s="19" t="s">
        <v>417</v>
      </c>
      <c r="B5" s="19" t="s">
        <v>429</v>
      </c>
      <c r="C5" s="19" t="s">
        <v>430</v>
      </c>
      <c r="D5" s="19" t="s">
        <v>426</v>
      </c>
      <c r="E5" s="19" t="s">
        <v>421</v>
      </c>
      <c r="F5" s="19" t="s">
        <v>431</v>
      </c>
      <c r="G5" s="19" t="s">
        <v>432</v>
      </c>
    </row>
    <row r="6" spans="1:7" ht="21.75" customHeight="1" x14ac:dyDescent="0.35">
      <c r="A6" s="21" t="s">
        <v>417</v>
      </c>
      <c r="B6" s="21" t="s">
        <v>433</v>
      </c>
      <c r="C6" s="21" t="s">
        <v>434</v>
      </c>
      <c r="D6" s="21" t="s">
        <v>426</v>
      </c>
      <c r="E6" s="21" t="s">
        <v>421</v>
      </c>
      <c r="F6" s="21" t="s">
        <v>435</v>
      </c>
      <c r="G6" s="21" t="s">
        <v>436</v>
      </c>
    </row>
    <row r="7" spans="1:7" ht="21.75" customHeight="1" x14ac:dyDescent="0.35">
      <c r="A7" s="19" t="s">
        <v>417</v>
      </c>
      <c r="B7" s="19" t="s">
        <v>437</v>
      </c>
      <c r="C7" s="19" t="s">
        <v>438</v>
      </c>
      <c r="D7" s="19" t="s">
        <v>426</v>
      </c>
      <c r="E7" s="19" t="s">
        <v>421</v>
      </c>
      <c r="F7" s="19" t="s">
        <v>439</v>
      </c>
      <c r="G7" s="19" t="s">
        <v>440</v>
      </c>
    </row>
    <row r="8" spans="1:7" ht="21.75" customHeight="1" x14ac:dyDescent="0.35">
      <c r="A8" s="21" t="s">
        <v>417</v>
      </c>
      <c r="B8" s="21" t="s">
        <v>441</v>
      </c>
      <c r="C8" s="21" t="s">
        <v>442</v>
      </c>
      <c r="D8" s="21" t="s">
        <v>426</v>
      </c>
      <c r="E8" s="21" t="s">
        <v>421</v>
      </c>
      <c r="F8" s="21" t="s">
        <v>443</v>
      </c>
      <c r="G8" s="21" t="s">
        <v>444</v>
      </c>
    </row>
    <row r="9" spans="1:7" ht="21.75" customHeight="1" x14ac:dyDescent="0.35">
      <c r="A9" s="19" t="s">
        <v>417</v>
      </c>
      <c r="B9" s="19" t="s">
        <v>445</v>
      </c>
      <c r="C9" s="19" t="s">
        <v>446</v>
      </c>
      <c r="D9" s="19" t="s">
        <v>426</v>
      </c>
      <c r="E9" s="19" t="s">
        <v>421</v>
      </c>
      <c r="F9" s="19" t="s">
        <v>447</v>
      </c>
      <c r="G9" s="19" t="s">
        <v>448</v>
      </c>
    </row>
    <row r="10" spans="1:7" ht="21.75" customHeight="1" x14ac:dyDescent="0.35">
      <c r="A10" s="21" t="s">
        <v>417</v>
      </c>
      <c r="B10" s="21" t="s">
        <v>449</v>
      </c>
      <c r="C10" s="21" t="s">
        <v>450</v>
      </c>
      <c r="D10" s="21" t="s">
        <v>426</v>
      </c>
      <c r="E10" s="21" t="s">
        <v>421</v>
      </c>
      <c r="F10" s="21" t="s">
        <v>451</v>
      </c>
      <c r="G10" s="21" t="s">
        <v>452</v>
      </c>
    </row>
    <row r="11" spans="1:7" ht="21.75" customHeight="1" x14ac:dyDescent="0.35">
      <c r="A11" s="19"/>
      <c r="B11" s="19"/>
      <c r="C11" s="19"/>
      <c r="D11" s="19"/>
      <c r="E11" s="19"/>
      <c r="F11" s="19"/>
      <c r="G11" s="19"/>
    </row>
    <row r="12" spans="1:7" ht="21.75" customHeight="1" x14ac:dyDescent="0.35">
      <c r="A12" s="21" t="s">
        <v>453</v>
      </c>
      <c r="B12" s="21" t="s">
        <v>454</v>
      </c>
      <c r="C12" s="21" t="s">
        <v>419</v>
      </c>
      <c r="D12" s="31" t="s">
        <v>455</v>
      </c>
      <c r="E12" s="21" t="s">
        <v>421</v>
      </c>
      <c r="F12" s="21" t="s">
        <v>456</v>
      </c>
      <c r="G12" s="21" t="s">
        <v>119</v>
      </c>
    </row>
    <row r="13" spans="1:7" ht="21.75" customHeight="1" x14ac:dyDescent="0.35">
      <c r="A13" s="19" t="s">
        <v>453</v>
      </c>
      <c r="B13" s="19" t="s">
        <v>86</v>
      </c>
      <c r="C13" s="19" t="s">
        <v>425</v>
      </c>
      <c r="D13" s="19" t="s">
        <v>426</v>
      </c>
      <c r="E13" s="19" t="s">
        <v>421</v>
      </c>
      <c r="F13" s="19" t="s">
        <v>457</v>
      </c>
      <c r="G13" s="19" t="s">
        <v>333</v>
      </c>
    </row>
    <row r="14" spans="1:7" ht="21.75" customHeight="1" x14ac:dyDescent="0.35">
      <c r="A14" s="21" t="s">
        <v>453</v>
      </c>
      <c r="B14" s="21" t="s">
        <v>91</v>
      </c>
      <c r="C14" s="21" t="s">
        <v>458</v>
      </c>
      <c r="D14" s="21" t="s">
        <v>426</v>
      </c>
      <c r="E14" s="21" t="s">
        <v>421</v>
      </c>
      <c r="F14" s="21" t="s">
        <v>459</v>
      </c>
      <c r="G14" s="21" t="s">
        <v>460</v>
      </c>
    </row>
    <row r="15" spans="1:7" ht="21.75" customHeight="1" x14ac:dyDescent="0.35">
      <c r="A15" s="19" t="s">
        <v>453</v>
      </c>
      <c r="B15" s="19" t="s">
        <v>92</v>
      </c>
      <c r="C15" s="19" t="s">
        <v>434</v>
      </c>
      <c r="D15" s="19" t="s">
        <v>426</v>
      </c>
      <c r="E15" s="19" t="s">
        <v>421</v>
      </c>
      <c r="F15" s="19" t="s">
        <v>461</v>
      </c>
      <c r="G15" s="19" t="s">
        <v>462</v>
      </c>
    </row>
    <row r="16" spans="1:7" ht="21.75" customHeight="1" x14ac:dyDescent="0.35">
      <c r="A16" s="21"/>
      <c r="B16" s="21"/>
      <c r="C16" s="21"/>
      <c r="D16" s="21"/>
      <c r="E16" s="21"/>
      <c r="F16" s="21"/>
      <c r="G16" s="21"/>
    </row>
    <row r="17" spans="1:7" ht="21.75" customHeight="1" x14ac:dyDescent="0.35">
      <c r="A17" s="19" t="s">
        <v>463</v>
      </c>
      <c r="B17" s="19" t="s">
        <v>464</v>
      </c>
      <c r="C17" s="19" t="s">
        <v>419</v>
      </c>
      <c r="D17" s="19" t="s">
        <v>426</v>
      </c>
      <c r="E17" s="19" t="s">
        <v>421</v>
      </c>
      <c r="F17" s="19" t="s">
        <v>465</v>
      </c>
      <c r="G17" s="19" t="s">
        <v>466</v>
      </c>
    </row>
    <row r="18" spans="1:7" ht="21.75" customHeight="1" x14ac:dyDescent="0.35">
      <c r="A18" s="21" t="s">
        <v>463</v>
      </c>
      <c r="B18" s="21" t="s">
        <v>418</v>
      </c>
      <c r="C18" s="21" t="s">
        <v>425</v>
      </c>
      <c r="D18" s="23" t="s">
        <v>467</v>
      </c>
      <c r="E18" s="21" t="s">
        <v>421</v>
      </c>
      <c r="F18" s="21" t="s">
        <v>468</v>
      </c>
      <c r="G18" s="21" t="s">
        <v>423</v>
      </c>
    </row>
    <row r="19" spans="1:7" ht="21.75" customHeight="1" x14ac:dyDescent="0.35">
      <c r="A19" s="19" t="s">
        <v>463</v>
      </c>
      <c r="B19" s="19" t="s">
        <v>454</v>
      </c>
      <c r="C19" s="19" t="s">
        <v>469</v>
      </c>
      <c r="D19" s="24" t="s">
        <v>470</v>
      </c>
      <c r="E19" s="19" t="s">
        <v>421</v>
      </c>
      <c r="F19" s="19" t="s">
        <v>471</v>
      </c>
      <c r="G19" s="19" t="s">
        <v>119</v>
      </c>
    </row>
    <row r="20" spans="1:7" ht="21.75" customHeight="1" x14ac:dyDescent="0.35">
      <c r="A20" s="21" t="s">
        <v>463</v>
      </c>
      <c r="B20" s="21" t="s">
        <v>472</v>
      </c>
      <c r="C20" s="21" t="s">
        <v>473</v>
      </c>
      <c r="D20" s="21" t="s">
        <v>426</v>
      </c>
      <c r="E20" s="21" t="s">
        <v>474</v>
      </c>
      <c r="F20" s="21" t="s">
        <v>475</v>
      </c>
      <c r="G20" s="21" t="s">
        <v>476</v>
      </c>
    </row>
    <row r="21" spans="1:7" ht="21.75" customHeight="1" x14ac:dyDescent="0.35">
      <c r="A21" s="19" t="s">
        <v>463</v>
      </c>
      <c r="B21" s="19" t="s">
        <v>477</v>
      </c>
      <c r="C21" s="19" t="s">
        <v>478</v>
      </c>
      <c r="D21" s="19" t="s">
        <v>426</v>
      </c>
      <c r="E21" s="19" t="s">
        <v>479</v>
      </c>
      <c r="F21" s="19" t="s">
        <v>480</v>
      </c>
      <c r="G21" s="19" t="s">
        <v>481</v>
      </c>
    </row>
    <row r="22" spans="1:7" ht="21.75" customHeight="1" x14ac:dyDescent="0.35">
      <c r="A22" s="21" t="s">
        <v>463</v>
      </c>
      <c r="B22" s="21" t="s">
        <v>482</v>
      </c>
      <c r="C22" s="21" t="s">
        <v>483</v>
      </c>
      <c r="D22" s="21" t="s">
        <v>426</v>
      </c>
      <c r="E22" s="21" t="s">
        <v>479</v>
      </c>
      <c r="F22" s="21" t="s">
        <v>484</v>
      </c>
      <c r="G22" s="21" t="s">
        <v>485</v>
      </c>
    </row>
    <row r="23" spans="1:7" ht="21.75" customHeight="1" x14ac:dyDescent="0.35">
      <c r="A23" s="19" t="s">
        <v>463</v>
      </c>
      <c r="B23" s="19" t="s">
        <v>486</v>
      </c>
      <c r="C23" s="19" t="s">
        <v>450</v>
      </c>
      <c r="D23" s="19" t="s">
        <v>426</v>
      </c>
      <c r="E23" s="19" t="s">
        <v>474</v>
      </c>
      <c r="F23" s="19" t="s">
        <v>487</v>
      </c>
      <c r="G23" s="19" t="s">
        <v>476</v>
      </c>
    </row>
    <row r="24" spans="1:7" ht="21.75" customHeight="1" x14ac:dyDescent="0.35">
      <c r="A24" s="21" t="s">
        <v>463</v>
      </c>
      <c r="B24" s="21" t="s">
        <v>488</v>
      </c>
      <c r="C24" s="21" t="s">
        <v>489</v>
      </c>
      <c r="D24" s="21" t="s">
        <v>426</v>
      </c>
      <c r="E24" s="21" t="s">
        <v>474</v>
      </c>
      <c r="F24" s="21" t="s">
        <v>490</v>
      </c>
      <c r="G24" s="21" t="s">
        <v>491</v>
      </c>
    </row>
    <row r="25" spans="1:7" ht="21.75" customHeight="1" x14ac:dyDescent="0.35">
      <c r="A25" s="19" t="s">
        <v>463</v>
      </c>
      <c r="B25" s="19" t="s">
        <v>492</v>
      </c>
      <c r="C25" s="19" t="s">
        <v>493</v>
      </c>
      <c r="D25" s="19" t="s">
        <v>426</v>
      </c>
      <c r="E25" s="19" t="s">
        <v>479</v>
      </c>
      <c r="F25" s="19" t="s">
        <v>494</v>
      </c>
      <c r="G25" s="19" t="s">
        <v>495</v>
      </c>
    </row>
    <row r="26" spans="1:7" ht="21.75" customHeight="1" x14ac:dyDescent="0.35">
      <c r="A26" s="21" t="s">
        <v>463</v>
      </c>
      <c r="B26" s="21" t="s">
        <v>496</v>
      </c>
      <c r="C26" s="21" t="s">
        <v>497</v>
      </c>
      <c r="D26" s="21" t="s">
        <v>426</v>
      </c>
      <c r="E26" s="21" t="s">
        <v>479</v>
      </c>
      <c r="F26" s="21" t="s">
        <v>498</v>
      </c>
      <c r="G26" s="21" t="s">
        <v>499</v>
      </c>
    </row>
  </sheetData>
  <autoFilter ref="A2:G2" xr:uid="{00000000-0009-0000-0000-000004000000}"/>
  <mergeCells count="1">
    <mergeCell ref="A1:G1"/>
  </mergeCells>
  <pageMargins left="0.75" right="0.75" top="1" bottom="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Revenue Dashboard</vt:lpstr>
      <vt:lpstr>Guest Profiles</vt:lpstr>
      <vt:lpstr>Property Lookup</vt:lpstr>
      <vt:lpstr>Revenue Tracker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Rishu S</cp:lastModifiedBy>
  <cp:revision>0</cp:revision>
  <dcterms:created xsi:type="dcterms:W3CDTF">2026-05-03T21:04:43Z</dcterms:created>
  <dcterms:modified xsi:type="dcterms:W3CDTF">2026-05-22T10:25:17Z</dcterms:modified>
  <dc:language>en-US</dc:language>
</cp:coreProperties>
</file>